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Inputs" sheetId="2" state="visible" r:id="rId4"/>
    <sheet name="PV_Sizing" sheetId="3" state="visible" r:id="rId5"/>
    <sheet name="BESS_Sizing" sheetId="4" state="visible" r:id="rId6"/>
    <sheet name="EV_Pack" sheetId="5" state="visible" r:id="rId7"/>
    <sheet name="Ref_Tables" sheetId="6" state="visible" r:id="rId8"/>
    <sheet name="Cable_Protec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<sst xmlns="http://schemas.openxmlformats.org/spreadsheetml/2006/main" count="473" uniqueCount="325">
  <si>
    <t xml:space="preserve">Solar EV Charging System - Illustrative Design Calculations</t>
  </si>
  <si>
    <t xml:space="preserve">Supports the conceptual portfolio design. CONCEPTUAL - NOT A CONSTRUCTION-READY DESIGN.</t>
  </si>
  <si>
    <t xml:space="preserve">Purpose</t>
  </si>
  <si>
    <t xml:space="preserve">Replaces TBD placeholders with a transparent, formula-driven worked example so the architecture drawings are backed by numbers.</t>
  </si>
  <si>
    <t xml:space="preserve">How to use</t>
  </si>
  <si>
    <t xml:space="preserve">Change blue cells on the Inputs sheet (yellow = key assumptions). Every other sheet recalculates. Review PASS/FAIL checks.</t>
  </si>
  <si>
    <t xml:space="preserve">Colour code</t>
  </si>
  <si>
    <t xml:space="preserve">Blue text = input. Black = formula. Yellow fill = key design assumption. Green/red = PASS/FAIL check.</t>
  </si>
  <si>
    <t xml:space="preserve">Sheets</t>
  </si>
  <si>
    <t xml:space="preserve">Inputs | PV_Sizing | BESS_Sizing | EV_Pack | Cable_Protection | Ref_Tables</t>
  </si>
  <si>
    <t xml:space="preserve">Status of values</t>
  </si>
  <si>
    <t xml:space="preserve">All module, inverter, battery and cable values are ILLUSTRATIVE. They are not taken from a real datasheet or standard edition and must be replaced with verified data.</t>
  </si>
  <si>
    <t xml:space="preserve">Not included</t>
  </si>
  <si>
    <t xml:space="preserve">Short-circuit and fault-level studies, protection coordination, earthing design, arc-flash, thermal design, BMS algorithms, grid-connection requirements, and standards compliance.</t>
  </si>
  <si>
    <t xml:space="preserve">Grid</t>
  </si>
  <si>
    <t xml:space="preserve">A grid-connected 400 V / 50 Hz supply is ASSUMED for the energy balance. The grid interface is not yet on EVD-001 to EVD-010.</t>
  </si>
  <si>
    <t xml:space="preserve">Overall check status</t>
  </si>
  <si>
    <t xml:space="preserve">Number of checks</t>
  </si>
  <si>
    <t xml:space="preserve">Inputs - illustrative example values</t>
  </si>
  <si>
    <t xml:space="preserve">Blue = editable input. Yellow fill = key design assumption. All values are ILLUSTRATIVE, not from a real site or datasheet.</t>
  </si>
  <si>
    <t xml:space="preserve">Parameter</t>
  </si>
  <si>
    <t xml:space="preserve">Description</t>
  </si>
  <si>
    <t xml:space="preserve">Value</t>
  </si>
  <si>
    <t xml:space="preserve">Unit</t>
  </si>
  <si>
    <t xml:space="preserve">Basis / note</t>
  </si>
  <si>
    <t xml:space="preserve">1. Site and charging load</t>
  </si>
  <si>
    <t xml:space="preserve">v_ll</t>
  </si>
  <si>
    <t xml:space="preserve">Site supply, line-to-line</t>
  </si>
  <si>
    <t xml:space="preserve">V</t>
  </si>
  <si>
    <t xml:space="preserve">Assumed 3-phase 400 V / 50 Hz grid-connected site (grid interface itself not drawn yet)</t>
  </si>
  <si>
    <t xml:space="preserve">v_ph</t>
  </si>
  <si>
    <t xml:space="preserve">Site supply, line-to-neutral</t>
  </si>
  <si>
    <t xml:space="preserve">Assumed</t>
  </si>
  <si>
    <t xml:space="preserve">n_ch</t>
  </si>
  <si>
    <t xml:space="preserve">Number of AC charging points</t>
  </si>
  <si>
    <t xml:space="preserve">-</t>
  </si>
  <si>
    <t xml:space="preserve">i_ch</t>
  </si>
  <si>
    <t xml:space="preserve">Rated current per charging point</t>
  </si>
  <si>
    <t xml:space="preserve">A</t>
  </si>
  <si>
    <t xml:space="preserve">Assumed Mode 3 AC charger, single-phase</t>
  </si>
  <si>
    <t xml:space="preserve">sessions</t>
  </si>
  <si>
    <t xml:space="preserve">Charging sessions per day (whole site)</t>
  </si>
  <si>
    <t xml:space="preserve">e_session</t>
  </si>
  <si>
    <t xml:space="preserve">AC energy drawn per session</t>
  </si>
  <si>
    <t xml:space="preserve">kWh</t>
  </si>
  <si>
    <t xml:space="preserve">solar_share</t>
  </si>
  <si>
    <t xml:space="preserve">Target share of daily energy served by PV</t>
  </si>
  <si>
    <t xml:space="preserve">fraction</t>
  </si>
  <si>
    <t xml:space="preserve">Design target</t>
  </si>
  <si>
    <t xml:space="preserve">bess_share</t>
  </si>
  <si>
    <t xml:space="preserve">Share of daily energy served via BESS (evening/night)</t>
  </si>
  <si>
    <t xml:space="preserve">Design target - energy shifted by storage</t>
  </si>
  <si>
    <t xml:space="preserve">2. Solar resource and losses</t>
  </si>
  <si>
    <t xml:space="preserve">psh</t>
  </si>
  <si>
    <t xml:space="preserve">Peak sun hours (equivalent full-sun hours per day)</t>
  </si>
  <si>
    <t xml:space="preserve">h/day</t>
  </si>
  <si>
    <t xml:space="preserve">Assumed - replace with site data (e.g. PVGIS / measured)</t>
  </si>
  <si>
    <t xml:space="preserve">pr</t>
  </si>
  <si>
    <t xml:space="preserve">PV performance ratio</t>
  </si>
  <si>
    <t xml:space="preserve">Typical planning value</t>
  </si>
  <si>
    <t xml:space="preserve">path_eff</t>
  </si>
  <si>
    <t xml:space="preserve">Energy path efficiency (PV -&gt; load incl. BESS losses)</t>
  </si>
  <si>
    <t xml:space="preserve">Assumed blended value</t>
  </si>
  <si>
    <t xml:space="preserve">t_min</t>
  </si>
  <si>
    <t xml:space="preserve">Minimum site ambient temperature</t>
  </si>
  <si>
    <t xml:space="preserve">degC</t>
  </si>
  <si>
    <t xml:space="preserve">Assumed - set from site climate data</t>
  </si>
  <si>
    <t xml:space="preserve">t_cell</t>
  </si>
  <si>
    <t xml:space="preserve">Maximum PV cell temperature</t>
  </si>
  <si>
    <t xml:space="preserve">3. PV module (illustrative 550 Wp class)</t>
  </si>
  <si>
    <t xml:space="preserve">p_mod</t>
  </si>
  <si>
    <t xml:space="preserve">Module rated power</t>
  </si>
  <si>
    <t xml:space="preserve">Wp</t>
  </si>
  <si>
    <t xml:space="preserve">Illustrative - replace with datasheet</t>
  </si>
  <si>
    <t xml:space="preserve">voc</t>
  </si>
  <si>
    <t xml:space="preserve">Open-circuit voltage Voc (STC)</t>
  </si>
  <si>
    <t xml:space="preserve">Illustrative</t>
  </si>
  <si>
    <t xml:space="preserve">vmp</t>
  </si>
  <si>
    <t xml:space="preserve">Voltage at max power Vmp (STC)</t>
  </si>
  <si>
    <t xml:space="preserve">isc</t>
  </si>
  <si>
    <t xml:space="preserve">Short-circuit current Isc (STC)</t>
  </si>
  <si>
    <t xml:space="preserve">imp</t>
  </si>
  <si>
    <t xml:space="preserve">Current at max power Imp (STC)</t>
  </si>
  <si>
    <t xml:space="preserve">k_voc</t>
  </si>
  <si>
    <t xml:space="preserve">Temperature coefficient of Voc</t>
  </si>
  <si>
    <t xml:space="preserve">%/degC</t>
  </si>
  <si>
    <t xml:space="preserve">k_vmp</t>
  </si>
  <si>
    <t xml:space="preserve">Temperature coefficient of Vmp (approx.)</t>
  </si>
  <si>
    <t xml:space="preserve">fuse_max</t>
  </si>
  <si>
    <t xml:space="preserve">Module max series fuse rating</t>
  </si>
  <si>
    <t xml:space="preserve">mod_len</t>
  </si>
  <si>
    <t xml:space="preserve">Modules per string</t>
  </si>
  <si>
    <t xml:space="preserve">Design choice - checked against inverter window</t>
  </si>
  <si>
    <t xml:space="preserve">4. Solar inverter (illustrative 12 kW, 3-phase)</t>
  </si>
  <si>
    <t xml:space="preserve">p_inv</t>
  </si>
  <si>
    <t xml:space="preserve">Inverter rated AC output</t>
  </si>
  <si>
    <t xml:space="preserve">kW</t>
  </si>
  <si>
    <t xml:space="preserve">v_dc_max</t>
  </si>
  <si>
    <t xml:space="preserve">Max DC input voltage</t>
  </si>
  <si>
    <t xml:space="preserve">mppt_min</t>
  </si>
  <si>
    <t xml:space="preserve">MPPT voltage range - min</t>
  </si>
  <si>
    <t xml:space="preserve">mppt_max</t>
  </si>
  <si>
    <t xml:space="preserve">MPPT voltage range - max</t>
  </si>
  <si>
    <t xml:space="preserve">i_mppt</t>
  </si>
  <si>
    <t xml:space="preserve">Max operating DC current per MPPT input</t>
  </si>
  <si>
    <t xml:space="preserve">i_isc_max</t>
  </si>
  <si>
    <t xml:space="preserve">Max short-circuit current per MPPT input</t>
  </si>
  <si>
    <t xml:space="preserve">dcac_min</t>
  </si>
  <si>
    <t xml:space="preserve">Acceptable DC/AC ratio - min</t>
  </si>
  <si>
    <t xml:space="preserve">Design guideline</t>
  </si>
  <si>
    <t xml:space="preserve">dcac_max</t>
  </si>
  <si>
    <t xml:space="preserve">Acceptable DC/AC ratio - max</t>
  </si>
  <si>
    <t xml:space="preserve">5. Stationary BESS (illustrative LFP rack modules)</t>
  </si>
  <si>
    <t xml:space="preserve">m_kwh</t>
  </si>
  <si>
    <t xml:space="preserve">Battery module nominal energy</t>
  </si>
  <si>
    <t xml:space="preserve">Illustrative (16S x 3.2 V x 100 Ah)</t>
  </si>
  <si>
    <t xml:space="preserve">m_v</t>
  </si>
  <si>
    <t xml:space="preserve">Battery module nominal voltage</t>
  </si>
  <si>
    <t xml:space="preserve">m_vmax</t>
  </si>
  <si>
    <t xml:space="preserve">Battery module max voltage</t>
  </si>
  <si>
    <t xml:space="preserve">Illustrative (16 x 3.65 V)</t>
  </si>
  <si>
    <t xml:space="preserve">m_vmin</t>
  </si>
  <si>
    <t xml:space="preserve">Battery module min voltage</t>
  </si>
  <si>
    <t xml:space="preserve">Illustrative (16 x 2.8 V)</t>
  </si>
  <si>
    <t xml:space="preserve">dod</t>
  </si>
  <si>
    <t xml:space="preserve">Usable depth of discharge</t>
  </si>
  <si>
    <t xml:space="preserve">eta_dis</t>
  </si>
  <si>
    <t xml:space="preserve">Discharge efficiency (battery -&gt; AC)</t>
  </si>
  <si>
    <t xml:space="preserve">n_ser</t>
  </si>
  <si>
    <t xml:space="preserve">Modules in series per string</t>
  </si>
  <si>
    <t xml:space="preserve">Design choice - checked against PCS DC window</t>
  </si>
  <si>
    <t xml:space="preserve">pcs_kw</t>
  </si>
  <si>
    <t xml:space="preserve">PCS rated power</t>
  </si>
  <si>
    <t xml:space="preserve">Design choice</t>
  </si>
  <si>
    <t xml:space="preserve">pcs_eff</t>
  </si>
  <si>
    <t xml:space="preserve">PCS efficiency</t>
  </si>
  <si>
    <t xml:space="preserve">pcs_vmin</t>
  </si>
  <si>
    <t xml:space="preserve">PCS DC input voltage - min</t>
  </si>
  <si>
    <t xml:space="preserve">pcs_vmax</t>
  </si>
  <si>
    <t xml:space="preserve">PCS DC input voltage - max</t>
  </si>
  <si>
    <t xml:space="preserve">c_max</t>
  </si>
  <si>
    <t xml:space="preserve">Max continuous C-rate of module</t>
  </si>
  <si>
    <t xml:space="preserve">1/h</t>
  </si>
  <si>
    <t xml:space="preserve">6. EV battery pack and on-board charger (illustrative)</t>
  </si>
  <si>
    <t xml:space="preserve">c_v</t>
  </si>
  <si>
    <t xml:space="preserve">Cell nominal voltage</t>
  </si>
  <si>
    <t xml:space="preserve">Illustrative NMC-type cell</t>
  </si>
  <si>
    <t xml:space="preserve">c_vmax</t>
  </si>
  <si>
    <t xml:space="preserve">Cell max voltage</t>
  </si>
  <si>
    <t xml:space="preserve">c_vmin</t>
  </si>
  <si>
    <t xml:space="preserve">Cell min voltage</t>
  </si>
  <si>
    <t xml:space="preserve">c_ah</t>
  </si>
  <si>
    <t xml:space="preserve">Cell capacity</t>
  </si>
  <si>
    <t xml:space="preserve">Ah</t>
  </si>
  <si>
    <t xml:space="preserve">ns</t>
  </si>
  <si>
    <t xml:space="preserve">Cells in series</t>
  </si>
  <si>
    <t xml:space="preserve">Design choice (about 350 V class)</t>
  </si>
  <si>
    <t xml:space="preserve">np</t>
  </si>
  <si>
    <t xml:space="preserve">Cells in parallel</t>
  </si>
  <si>
    <t xml:space="preserve">soc_win</t>
  </si>
  <si>
    <t xml:space="preserve">Usable SOC window</t>
  </si>
  <si>
    <t xml:space="preserve">pk_kw</t>
  </si>
  <si>
    <t xml:space="preserve">Peak traction power (battery side)</t>
  </si>
  <si>
    <t xml:space="preserve">ct_kw</t>
  </si>
  <si>
    <t xml:space="preserve">Continuous traction power (battery side)</t>
  </si>
  <si>
    <t xml:space="preserve">ob_kw</t>
  </si>
  <si>
    <t xml:space="preserve">On-board charger rating (AC input)</t>
  </si>
  <si>
    <t xml:space="preserve">ob_eff</t>
  </si>
  <si>
    <t xml:space="preserve">On-board charger efficiency</t>
  </si>
  <si>
    <t xml:space="preserve">7. Cable assumptions</t>
  </si>
  <si>
    <t xml:space="preserve">rho</t>
  </si>
  <si>
    <t xml:space="preserve">Copper resistivity at operating temperature</t>
  </si>
  <si>
    <t xml:space="preserve">ohm.mm2/m</t>
  </si>
  <si>
    <t xml:space="preserve">Approx. value for 70 degC conductor; reactance ignored</t>
  </si>
  <si>
    <t xml:space="preserve">d_temp</t>
  </si>
  <si>
    <t xml:space="preserve">Derating factor - ambient temperature</t>
  </si>
  <si>
    <t xml:space="preserve">Assumed ~40 degC ambient (PVC); verify against standard</t>
  </si>
  <si>
    <t xml:space="preserve">d_grp</t>
  </si>
  <si>
    <t xml:space="preserve">Derating factor - grouping</t>
  </si>
  <si>
    <t xml:space="preserve">Assumed; verify against standard</t>
  </si>
  <si>
    <t xml:space="preserve">Energy demand, PV array and inverter sizing</t>
  </si>
  <si>
    <t xml:space="preserve">Illustrative worked example - not a construction design</t>
  </si>
  <si>
    <t xml:space="preserve">Formula / note</t>
  </si>
  <si>
    <t xml:space="preserve">1. Charging energy demand</t>
  </si>
  <si>
    <t xml:space="preserve">Power per charging point</t>
  </si>
  <si>
    <t xml:space="preserve">V x I (single-phase)</t>
  </si>
  <si>
    <t xml:space="preserve">Peak site charging demand</t>
  </si>
  <si>
    <t xml:space="preserve">All points in use at once</t>
  </si>
  <si>
    <t xml:space="preserve">Daily charging energy</t>
  </si>
  <si>
    <t xml:space="preserve">kWh/day</t>
  </si>
  <si>
    <t xml:space="preserve">Sessions x energy per session</t>
  </si>
  <si>
    <t xml:space="preserve">Daily energy to be served from PV (direct + via BESS)</t>
  </si>
  <si>
    <t xml:space="preserve">Daily energy to be served via BESS</t>
  </si>
  <si>
    <t xml:space="preserve">2. PV array sizing</t>
  </si>
  <si>
    <t xml:space="preserve">Required PV capacity</t>
  </si>
  <si>
    <t xml:space="preserve">kWp</t>
  </si>
  <si>
    <t xml:space="preserve">E / (PSH x PR x path efficiency)</t>
  </si>
  <si>
    <t xml:space="preserve">Modules required</t>
  </si>
  <si>
    <t xml:space="preserve">Number of strings</t>
  </si>
  <si>
    <t xml:space="preserve">Rounded up to whole strings</t>
  </si>
  <si>
    <t xml:space="preserve">Installed modules</t>
  </si>
  <si>
    <t xml:space="preserve">Installed PV capacity</t>
  </si>
  <si>
    <t xml:space="preserve">Estimated daily PV yield</t>
  </si>
  <si>
    <t xml:space="preserve">PV energy reaching load (after path losses)</t>
  </si>
  <si>
    <t xml:space="preserve">Estimated daily grid import</t>
  </si>
  <si>
    <t xml:space="preserve">Grid interface to be added to drawings</t>
  </si>
  <si>
    <t xml:space="preserve">Estimated solar share of charging energy</t>
  </si>
  <si>
    <t xml:space="preserve">Check: installed PV meets required capacity</t>
  </si>
  <si>
    <t xml:space="preserve">3. String voltage and current checks</t>
  </si>
  <si>
    <t xml:space="preserve">Module Voc at minimum temperature</t>
  </si>
  <si>
    <t xml:space="preserve">Module Vmp at maximum cell temperature</t>
  </si>
  <si>
    <t xml:space="preserve">Module Vmp at minimum temperature</t>
  </si>
  <si>
    <t xml:space="preserve">String Voc (cold)</t>
  </si>
  <si>
    <t xml:space="preserve">String Vmp (hot)</t>
  </si>
  <si>
    <t xml:space="preserve">String Vmp (cold)</t>
  </si>
  <si>
    <t xml:space="preserve">String Vmp (STC) - reference voltage for cable calcs</t>
  </si>
  <si>
    <t xml:space="preserve">Check: string Voc (cold) &lt;= inverter max DC voltage</t>
  </si>
  <si>
    <t xml:space="preserve">Check: string Vmp (hot) &gt;= MPPT minimum</t>
  </si>
  <si>
    <t xml:space="preserve">Check: string Vmp (cold) &lt;= MPPT maximum</t>
  </si>
  <si>
    <t xml:space="preserve">Array Isc (strings paralleled on one MPPT input)</t>
  </si>
  <si>
    <t xml:space="preserve">Array Imp (strings paralleled on one MPPT input)</t>
  </si>
  <si>
    <t xml:space="preserve">Check: array Isc &lt;= MPPT input max Isc</t>
  </si>
  <si>
    <t xml:space="preserve">Check: array Imp &lt;= MPPT input max current</t>
  </si>
  <si>
    <t xml:space="preserve">4. Inverter</t>
  </si>
  <si>
    <t xml:space="preserve">DC/AC ratio</t>
  </si>
  <si>
    <t xml:space="preserve">Check: DC/AC ratio within guideline</t>
  </si>
  <si>
    <t xml:space="preserve">Inverter AC output current</t>
  </si>
  <si>
    <t xml:space="preserve">P / (sqrt3 x V)</t>
  </si>
  <si>
    <t xml:space="preserve">Stationary BESS sizing</t>
  </si>
  <si>
    <t xml:space="preserve">1. Energy sizing</t>
  </si>
  <si>
    <t xml:space="preserve">Energy to be delivered by BESS per day</t>
  </si>
  <si>
    <t xml:space="preserve">From PV_Sizing</t>
  </si>
  <si>
    <t xml:space="preserve">Required nominal capacity</t>
  </si>
  <si>
    <t xml:space="preserve">E / (DoD x discharge efficiency)</t>
  </si>
  <si>
    <t xml:space="preserve">Parallel strings</t>
  </si>
  <si>
    <t xml:space="preserve">Modules per string set on Inputs</t>
  </si>
  <si>
    <t xml:space="preserve">Installed nominal capacity</t>
  </si>
  <si>
    <t xml:space="preserve">Usable energy at AC side</t>
  </si>
  <si>
    <t xml:space="preserve">Check: usable energy &gt;= daily BESS requirement</t>
  </si>
  <si>
    <t xml:space="preserve">2. DC bus and PCS</t>
  </si>
  <si>
    <t xml:space="preserve">DC string nominal voltage</t>
  </si>
  <si>
    <t xml:space="preserve">DC string maximum voltage</t>
  </si>
  <si>
    <t xml:space="preserve">DC string minimum voltage</t>
  </si>
  <si>
    <t xml:space="preserve">Check: DC voltage range inside PCS window</t>
  </si>
  <si>
    <t xml:space="preserve">PCS DC current at rated power (nominal voltage)</t>
  </si>
  <si>
    <t xml:space="preserve">DC current per parallel string</t>
  </si>
  <si>
    <t xml:space="preserve">PCS AC current at rated power</t>
  </si>
  <si>
    <t xml:space="preserve">3-phase</t>
  </si>
  <si>
    <t xml:space="preserve">C-rate at rated PCS power</t>
  </si>
  <si>
    <t xml:space="preserve">Check: C-rate &lt;= module continuous limit</t>
  </si>
  <si>
    <t xml:space="preserve">Runtime at rated PCS power</t>
  </si>
  <si>
    <t xml:space="preserve">h</t>
  </si>
  <si>
    <t xml:space="preserve">PCS power as share of peak charging demand</t>
  </si>
  <si>
    <t xml:space="preserve">Informational - remainder from PV/grid</t>
  </si>
  <si>
    <t xml:space="preserve">EV battery pack and AC charging session</t>
  </si>
  <si>
    <t xml:space="preserve">Illustrative worked example - not a vehicle design</t>
  </si>
  <si>
    <t xml:space="preserve">1. Pack configuration</t>
  </si>
  <si>
    <t xml:space="preserve">Pack nominal voltage</t>
  </si>
  <si>
    <t xml:space="preserve">Pack maximum voltage</t>
  </si>
  <si>
    <t xml:space="preserve">Pack minimum voltage</t>
  </si>
  <si>
    <t xml:space="preserve">Pack capacity</t>
  </si>
  <si>
    <t xml:space="preserve">Pack nominal energy</t>
  </si>
  <si>
    <t xml:space="preserve">Pack usable energy</t>
  </si>
  <si>
    <t xml:space="preserve">Total cells</t>
  </si>
  <si>
    <t xml:space="preserve">2. HV bus currents (for contactor / fuse selection input)</t>
  </si>
  <si>
    <t xml:space="preserve">Peak discharge current (worst case at minimum voltage)</t>
  </si>
  <si>
    <t xml:space="preserve">Continuous discharge current (nominal voltage)</t>
  </si>
  <si>
    <t xml:space="preserve">Peak C-rate</t>
  </si>
  <si>
    <t xml:space="preserve">Minimum contactor continuous rating (1.25 x continuous)</t>
  </si>
  <si>
    <t xml:space="preserve">Selection margin assumed</t>
  </si>
  <si>
    <t xml:space="preserve">3. AC charging session</t>
  </si>
  <si>
    <t xml:space="preserve">AC power drawn (limited by charger and on-board charger)</t>
  </si>
  <si>
    <t xml:space="preserve">Power into battery</t>
  </si>
  <si>
    <t xml:space="preserve">Energy into battery per session</t>
  </si>
  <si>
    <t xml:space="preserve">Charging time for one session</t>
  </si>
  <si>
    <t xml:space="preserve">Charging current into pack (nominal voltage)</t>
  </si>
  <si>
    <t xml:space="preserve">SOC added per session (of usable energy)</t>
  </si>
  <si>
    <t xml:space="preserve">Check: pack usable energy &gt;= energy per session</t>
  </si>
  <si>
    <t xml:space="preserve">Reference tables</t>
  </si>
  <si>
    <t xml:space="preserve">Indicative values approximating IEC 60364-5-52 / BS 7671 reference method C, PVC-insulated copper, 30 degC ambient. VERIFY against the current standard edition before any real use.</t>
  </si>
  <si>
    <t xml:space="preserve">Size (mm2)</t>
  </si>
  <si>
    <t xml:space="preserve">Current capacity, 2 loaded conductors (A) - single-phase / DC</t>
  </si>
  <si>
    <t xml:space="preserve">Current capacity, 3 loaded conductors (A) - 3-phase</t>
  </si>
  <si>
    <t xml:space="preserve">Standard device ratings (A)</t>
  </si>
  <si>
    <t xml:space="preserve">Cable sizing and protective device selection</t>
  </si>
  <si>
    <t xml:space="preserve">Links to Cable_Schedule.xlsx (CBL-xxx). Blue = input. Size = larger of ampacity-based and voltage-drop-based minimum. Reactance and short-circuit withstand are NOT included.</t>
  </si>
  <si>
    <t xml:space="preserve">Cable ID</t>
  </si>
  <si>
    <t xml:space="preserve">Circuit</t>
  </si>
  <si>
    <t xml:space="preserve">Type</t>
  </si>
  <si>
    <t xml:space="preserve">Voltage (V)</t>
  </si>
  <si>
    <t xml:space="preserve">Design current for protection Ib (A)</t>
  </si>
  <si>
    <t xml:space="preserve">Operating current for V-drop (A)</t>
  </si>
  <si>
    <t xml:space="preserve">Length one-way (m)</t>
  </si>
  <si>
    <t xml:space="preserve">V-drop limit (%)</t>
  </si>
  <si>
    <t xml:space="preserve">Protective device In (A)</t>
  </si>
  <si>
    <t xml:space="preserve">Derating factor</t>
  </si>
  <si>
    <t xml:space="preserve">Min size by ampacity (mm2)</t>
  </si>
  <si>
    <t xml:space="preserve">Min size by V-drop (mm2)</t>
  </si>
  <si>
    <t xml:space="preserve">Selected size (mm2)</t>
  </si>
  <si>
    <t xml:space="preserve">Derated capacity Iz (A)</t>
  </si>
  <si>
    <t xml:space="preserve">V-drop (%)</t>
  </si>
  <si>
    <t xml:space="preserve">Ib &lt;= In &lt;= Iz</t>
  </si>
  <si>
    <t xml:space="preserve">V-drop OK</t>
  </si>
  <si>
    <t xml:space="preserve">CBL-001</t>
  </si>
  <si>
    <t xml:space="preserve">PV string -&gt; PV combiner (per string)</t>
  </si>
  <si>
    <t xml:space="preserve">DC</t>
  </si>
  <si>
    <t xml:space="preserve">CBL-002</t>
  </si>
  <si>
    <t xml:space="preserve">PV combiner -&gt; solar inverter</t>
  </si>
  <si>
    <t xml:space="preserve">CBL-003</t>
  </si>
  <si>
    <t xml:space="preserve">Solar inverter -&gt; AC distribution</t>
  </si>
  <si>
    <t xml:space="preserve">3ph</t>
  </si>
  <si>
    <t xml:space="preserve">CBL-004</t>
  </si>
  <si>
    <t xml:space="preserve">AC distribution -&gt; BESS PCS</t>
  </si>
  <si>
    <t xml:space="preserve">CBL-005</t>
  </si>
  <si>
    <t xml:space="preserve">AC distribution -&gt; EV charger (per charger)</t>
  </si>
  <si>
    <t xml:space="preserve">1ph</t>
  </si>
  <si>
    <t xml:space="preserve">CBL-006</t>
  </si>
  <si>
    <t xml:space="preserve">EV charger -&gt; EV (charging cable)</t>
  </si>
  <si>
    <t xml:space="preserve">Additional check</t>
  </si>
  <si>
    <t xml:space="preserve">String protective device &lt;= module max series fuse rating</t>
  </si>
  <si>
    <t xml:space="preserve">Notes:</t>
  </si>
  <si>
    <t xml:space="preserve">1. Ib for PV circuits = 1.25 x Isc (x number of parallel strings); AC/charger circuits use rated current. Protective device In = next standard rating &gt;= Ib.</t>
  </si>
  <si>
    <t xml:space="preserve">2. Voltage drop uses resistance only (copper at operating temperature). Short-circuit withstand, earthing, and fault-loop checks are NOT done.</t>
  </si>
  <si>
    <t xml:space="preserve">3. DC protective devices must be DC-rated (e.g. gPV fuses / DC isolators). String-level protection is shown for illustration; whether it is required depends on the standard and the module reverse-current rating.</t>
  </si>
  <si>
    <t xml:space="preserve">4. CBL-007 to CBL-010 (EV HV and BMS cables) are vehicle-side and not sized in this workbook.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</si>
</sst>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%"/>
    <numFmt numFmtId="167" formatCode="0.00"/>
    <numFmt numFmtId="168" formatCode="0.0"/>
    <numFmt numFmtId="169" formatCode="0.0000"/>
    <numFmt numFmtId="170" formatCode="#,##0.00"/>
    <numFmt numFmtId="171" formatCode="0"/>
    <numFmt numFmtId="172" formatCode="0.0%"/>
    <numFmt numFmtId="173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  <row r="9" customFormat="false" ht="23.85" hidden="false" customHeight="false" outlineLevel="0" collapsed="false">
      <c r="A9" s="3" t="s">
        <v>12</v>
      </c>
      <c r="B9" s="4" t="s">
        <v>13</v>
      </c>
    </row>
    <row r="10" customFormat="false" ht="23.85" hidden="false" customHeight="fals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5" t="s">
        <v>16</v>
      </c>
      <c r="B12" s="5" t="str">
        <f aca="false">IF(COUNTIF(PV_Sizing!B5:B80,"FAIL")+COUNTIF(BESS_Sizing!B5:B60,"FAIL")+COUNTIF(EV_Pack!B5:B60,"FAIL")+COUNTIF(Cable_Protection!P5:Q12,"FAIL")+COUNTIF(Cable_Protection!I12:I14,"FAIL")=0,"ALL CHECKS PASS","CHECK FAILURES: "&amp;(COUNTIF(PV_Sizing!B5:B80,"FAIL")+COUNTIF(BESS_Sizing!B5:B60,"FAIL")+COUNTIF(EV_Pack!B5:B60,"FAIL")+COUNTIF(Cable_Protection!P5:Q12,"FAIL")+COUNTIF(Cable_Protection!I12:I14,"FAIL")))</f>
        <v>ALL CHECKS PASS</v>
      </c>
    </row>
    <row r="13" customFormat="false" ht="15" hidden="false" customHeight="false" outlineLevel="0" collapsed="false">
      <c r="A13" s="5" t="s">
        <v>17</v>
      </c>
      <c r="B13" s="6" t="n">
        <f aca="false">COUNTIF(PV_Sizing!B5:B80,"PASS")+COUNTIF(BESS_Sizing!B5:B60,"PASS")+COUNTIF(EV_Pack!B5:B60,"PASS")+COUNTIF(Cable_Protection!P5:Q12,"PASS")+COUNTIF(Cable_Protection!I12:I14,"PASS")</f>
        <v>24</v>
      </c>
    </row>
  </sheetData>
  <conditionalFormatting sqref="B12">
    <cfRule type="cellIs" priority="2" operator="equal" aboveAverage="0" equalAverage="0" bottom="0" percent="0" rank="0" text="" dxfId="0">
      <formula>"ALL CHECKS 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</row>
    <row r="5" customFormat="false" ht="15" hidden="false" customHeight="false" outlineLevel="0" collapsed="false">
      <c r="A5" s="8" t="s">
        <v>25</v>
      </c>
      <c r="B5" s="9"/>
      <c r="C5" s="9"/>
      <c r="D5" s="9"/>
      <c r="E5" s="9"/>
    </row>
    <row r="6" customFormat="false" ht="23.85" hidden="false" customHeight="false" outlineLevel="0" collapsed="false">
      <c r="A6" s="10" t="s">
        <v>26</v>
      </c>
      <c r="B6" s="11" t="s">
        <v>27</v>
      </c>
      <c r="C6" s="12" t="n">
        <v>400</v>
      </c>
      <c r="D6" s="11" t="s">
        <v>28</v>
      </c>
      <c r="E6" s="13" t="s">
        <v>29</v>
      </c>
    </row>
    <row r="7" customFormat="false" ht="15" hidden="false" customHeight="false" outlineLevel="0" collapsed="false">
      <c r="A7" s="10" t="s">
        <v>30</v>
      </c>
      <c r="B7" s="11" t="s">
        <v>31</v>
      </c>
      <c r="C7" s="14" t="n">
        <v>230</v>
      </c>
      <c r="D7" s="11" t="s">
        <v>28</v>
      </c>
      <c r="E7" s="13" t="s">
        <v>32</v>
      </c>
    </row>
    <row r="8" customFormat="false" ht="15" hidden="false" customHeight="false" outlineLevel="0" collapsed="false">
      <c r="A8" s="10" t="s">
        <v>33</v>
      </c>
      <c r="B8" s="11" t="s">
        <v>34</v>
      </c>
      <c r="C8" s="12" t="n">
        <v>2</v>
      </c>
      <c r="D8" s="11" t="s">
        <v>35</v>
      </c>
      <c r="E8" s="13" t="s">
        <v>32</v>
      </c>
    </row>
    <row r="9" customFormat="false" ht="15" hidden="false" customHeight="false" outlineLevel="0" collapsed="false">
      <c r="A9" s="10" t="s">
        <v>36</v>
      </c>
      <c r="B9" s="11" t="s">
        <v>37</v>
      </c>
      <c r="C9" s="12" t="n">
        <v>32</v>
      </c>
      <c r="D9" s="11" t="s">
        <v>38</v>
      </c>
      <c r="E9" s="13" t="s">
        <v>39</v>
      </c>
    </row>
    <row r="10" customFormat="false" ht="15" hidden="false" customHeight="false" outlineLevel="0" collapsed="false">
      <c r="A10" s="10" t="s">
        <v>40</v>
      </c>
      <c r="B10" s="11" t="s">
        <v>41</v>
      </c>
      <c r="C10" s="12" t="n">
        <v>4</v>
      </c>
      <c r="D10" s="11" t="s">
        <v>35</v>
      </c>
      <c r="E10" s="13" t="s">
        <v>32</v>
      </c>
    </row>
    <row r="11" customFormat="false" ht="15" hidden="false" customHeight="false" outlineLevel="0" collapsed="false">
      <c r="A11" s="10" t="s">
        <v>42</v>
      </c>
      <c r="B11" s="11" t="s">
        <v>43</v>
      </c>
      <c r="C11" s="12" t="n">
        <v>20</v>
      </c>
      <c r="D11" s="11" t="s">
        <v>44</v>
      </c>
      <c r="E11" s="13" t="s">
        <v>32</v>
      </c>
    </row>
    <row r="12" customFormat="false" ht="15" hidden="false" customHeight="false" outlineLevel="0" collapsed="false">
      <c r="A12" s="10" t="s">
        <v>45</v>
      </c>
      <c r="B12" s="11" t="s">
        <v>46</v>
      </c>
      <c r="C12" s="15" t="n">
        <v>0.5</v>
      </c>
      <c r="D12" s="11" t="s">
        <v>47</v>
      </c>
      <c r="E12" s="13" t="s">
        <v>48</v>
      </c>
    </row>
    <row r="13" customFormat="false" ht="15" hidden="false" customHeight="false" outlineLevel="0" collapsed="false">
      <c r="A13" s="10" t="s">
        <v>49</v>
      </c>
      <c r="B13" s="11" t="s">
        <v>50</v>
      </c>
      <c r="C13" s="15" t="n">
        <v>0.3</v>
      </c>
      <c r="D13" s="11" t="s">
        <v>47</v>
      </c>
      <c r="E13" s="13" t="s">
        <v>51</v>
      </c>
    </row>
    <row r="14" customFormat="false" ht="15" hidden="false" customHeight="false" outlineLevel="0" collapsed="false">
      <c r="A14" s="8" t="s">
        <v>52</v>
      </c>
      <c r="B14" s="9"/>
      <c r="C14" s="9"/>
      <c r="D14" s="9"/>
      <c r="E14" s="9"/>
    </row>
    <row r="15" customFormat="false" ht="15" hidden="false" customHeight="false" outlineLevel="0" collapsed="false">
      <c r="A15" s="10" t="s">
        <v>53</v>
      </c>
      <c r="B15" s="11" t="s">
        <v>54</v>
      </c>
      <c r="C15" s="12" t="n">
        <v>4.5</v>
      </c>
      <c r="D15" s="11" t="s">
        <v>55</v>
      </c>
      <c r="E15" s="13" t="s">
        <v>56</v>
      </c>
    </row>
    <row r="16" customFormat="false" ht="15" hidden="false" customHeight="false" outlineLevel="0" collapsed="false">
      <c r="A16" s="10" t="s">
        <v>57</v>
      </c>
      <c r="B16" s="11" t="s">
        <v>58</v>
      </c>
      <c r="C16" s="16" t="n">
        <v>0.8</v>
      </c>
      <c r="D16" s="11" t="s">
        <v>35</v>
      </c>
      <c r="E16" s="13" t="s">
        <v>59</v>
      </c>
    </row>
    <row r="17" customFormat="false" ht="15" hidden="false" customHeight="false" outlineLevel="0" collapsed="false">
      <c r="A17" s="10" t="s">
        <v>60</v>
      </c>
      <c r="B17" s="11" t="s">
        <v>61</v>
      </c>
      <c r="C17" s="16" t="n">
        <v>0.95</v>
      </c>
      <c r="D17" s="11" t="s">
        <v>35</v>
      </c>
      <c r="E17" s="13" t="s">
        <v>62</v>
      </c>
    </row>
    <row r="18" customFormat="false" ht="15" hidden="false" customHeight="false" outlineLevel="0" collapsed="false">
      <c r="A18" s="10" t="s">
        <v>63</v>
      </c>
      <c r="B18" s="11" t="s">
        <v>64</v>
      </c>
      <c r="C18" s="14" t="n">
        <v>10</v>
      </c>
      <c r="D18" s="11" t="s">
        <v>65</v>
      </c>
      <c r="E18" s="13" t="s">
        <v>66</v>
      </c>
    </row>
    <row r="19" customFormat="false" ht="15" hidden="false" customHeight="false" outlineLevel="0" collapsed="false">
      <c r="A19" s="10" t="s">
        <v>67</v>
      </c>
      <c r="B19" s="11" t="s">
        <v>68</v>
      </c>
      <c r="C19" s="14" t="n">
        <v>70</v>
      </c>
      <c r="D19" s="11" t="s">
        <v>65</v>
      </c>
      <c r="E19" s="13" t="s">
        <v>32</v>
      </c>
    </row>
    <row r="20" customFormat="false" ht="15" hidden="false" customHeight="false" outlineLevel="0" collapsed="false">
      <c r="A20" s="8" t="s">
        <v>69</v>
      </c>
      <c r="B20" s="9"/>
      <c r="C20" s="9"/>
      <c r="D20" s="9"/>
      <c r="E20" s="9"/>
    </row>
    <row r="21" customFormat="false" ht="15" hidden="false" customHeight="false" outlineLevel="0" collapsed="false">
      <c r="A21" s="10" t="s">
        <v>70</v>
      </c>
      <c r="B21" s="11" t="s">
        <v>71</v>
      </c>
      <c r="C21" s="14" t="n">
        <v>550</v>
      </c>
      <c r="D21" s="11" t="s">
        <v>72</v>
      </c>
      <c r="E21" s="13" t="s">
        <v>73</v>
      </c>
    </row>
    <row r="22" customFormat="false" ht="15" hidden="false" customHeight="false" outlineLevel="0" collapsed="false">
      <c r="A22" s="10" t="s">
        <v>74</v>
      </c>
      <c r="B22" s="11" t="s">
        <v>75</v>
      </c>
      <c r="C22" s="14" t="n">
        <v>49.5</v>
      </c>
      <c r="D22" s="11" t="s">
        <v>28</v>
      </c>
      <c r="E22" s="13" t="s">
        <v>76</v>
      </c>
    </row>
    <row r="23" customFormat="false" ht="15" hidden="false" customHeight="false" outlineLevel="0" collapsed="false">
      <c r="A23" s="10" t="s">
        <v>77</v>
      </c>
      <c r="B23" s="11" t="s">
        <v>78</v>
      </c>
      <c r="C23" s="14" t="n">
        <v>41.5</v>
      </c>
      <c r="D23" s="11" t="s">
        <v>28</v>
      </c>
      <c r="E23" s="13" t="s">
        <v>76</v>
      </c>
    </row>
    <row r="24" customFormat="false" ht="15" hidden="false" customHeight="false" outlineLevel="0" collapsed="false">
      <c r="A24" s="10" t="s">
        <v>79</v>
      </c>
      <c r="B24" s="11" t="s">
        <v>80</v>
      </c>
      <c r="C24" s="14" t="n">
        <v>14</v>
      </c>
      <c r="D24" s="11" t="s">
        <v>38</v>
      </c>
      <c r="E24" s="13" t="s">
        <v>76</v>
      </c>
    </row>
    <row r="25" customFormat="false" ht="15" hidden="false" customHeight="false" outlineLevel="0" collapsed="false">
      <c r="A25" s="10" t="s">
        <v>81</v>
      </c>
      <c r="B25" s="11" t="s">
        <v>82</v>
      </c>
      <c r="C25" s="14" t="n">
        <v>13.26</v>
      </c>
      <c r="D25" s="11" t="s">
        <v>38</v>
      </c>
      <c r="E25" s="13" t="s">
        <v>76</v>
      </c>
    </row>
    <row r="26" customFormat="false" ht="15" hidden="false" customHeight="false" outlineLevel="0" collapsed="false">
      <c r="A26" s="10" t="s">
        <v>83</v>
      </c>
      <c r="B26" s="11" t="s">
        <v>84</v>
      </c>
      <c r="C26" s="14" t="n">
        <v>-0.27</v>
      </c>
      <c r="D26" s="11" t="s">
        <v>85</v>
      </c>
      <c r="E26" s="13" t="s">
        <v>76</v>
      </c>
    </row>
    <row r="27" customFormat="false" ht="15" hidden="false" customHeight="false" outlineLevel="0" collapsed="false">
      <c r="A27" s="10" t="s">
        <v>86</v>
      </c>
      <c r="B27" s="11" t="s">
        <v>87</v>
      </c>
      <c r="C27" s="14" t="n">
        <v>-0.29</v>
      </c>
      <c r="D27" s="11" t="s">
        <v>85</v>
      </c>
      <c r="E27" s="13" t="s">
        <v>76</v>
      </c>
    </row>
    <row r="28" customFormat="false" ht="15" hidden="false" customHeight="false" outlineLevel="0" collapsed="false">
      <c r="A28" s="10" t="s">
        <v>88</v>
      </c>
      <c r="B28" s="11" t="s">
        <v>89</v>
      </c>
      <c r="C28" s="14" t="n">
        <v>25</v>
      </c>
      <c r="D28" s="11" t="s">
        <v>38</v>
      </c>
      <c r="E28" s="13" t="s">
        <v>76</v>
      </c>
    </row>
    <row r="29" customFormat="false" ht="15" hidden="false" customHeight="false" outlineLevel="0" collapsed="false">
      <c r="A29" s="10" t="s">
        <v>90</v>
      </c>
      <c r="B29" s="11" t="s">
        <v>91</v>
      </c>
      <c r="C29" s="12" t="n">
        <v>12</v>
      </c>
      <c r="D29" s="11" t="s">
        <v>35</v>
      </c>
      <c r="E29" s="13" t="s">
        <v>92</v>
      </c>
    </row>
    <row r="30" customFormat="false" ht="15" hidden="false" customHeight="false" outlineLevel="0" collapsed="false">
      <c r="A30" s="8" t="s">
        <v>93</v>
      </c>
      <c r="B30" s="9"/>
      <c r="C30" s="9"/>
      <c r="D30" s="9"/>
      <c r="E30" s="9"/>
    </row>
    <row r="31" customFormat="false" ht="15" hidden="false" customHeight="false" outlineLevel="0" collapsed="false">
      <c r="A31" s="10" t="s">
        <v>94</v>
      </c>
      <c r="B31" s="11" t="s">
        <v>95</v>
      </c>
      <c r="C31" s="12" t="n">
        <v>12</v>
      </c>
      <c r="D31" s="11" t="s">
        <v>96</v>
      </c>
      <c r="E31" s="13" t="s">
        <v>76</v>
      </c>
    </row>
    <row r="32" customFormat="false" ht="15" hidden="false" customHeight="false" outlineLevel="0" collapsed="false">
      <c r="A32" s="10" t="s">
        <v>97</v>
      </c>
      <c r="B32" s="11" t="s">
        <v>98</v>
      </c>
      <c r="C32" s="14" t="n">
        <v>1000</v>
      </c>
      <c r="D32" s="11" t="s">
        <v>28</v>
      </c>
      <c r="E32" s="13" t="s">
        <v>76</v>
      </c>
    </row>
    <row r="33" customFormat="false" ht="15" hidden="false" customHeight="false" outlineLevel="0" collapsed="false">
      <c r="A33" s="10" t="s">
        <v>99</v>
      </c>
      <c r="B33" s="11" t="s">
        <v>100</v>
      </c>
      <c r="C33" s="14" t="n">
        <v>200</v>
      </c>
      <c r="D33" s="11" t="s">
        <v>28</v>
      </c>
      <c r="E33" s="13" t="s">
        <v>76</v>
      </c>
    </row>
    <row r="34" customFormat="false" ht="15" hidden="false" customHeight="false" outlineLevel="0" collapsed="false">
      <c r="A34" s="10" t="s">
        <v>101</v>
      </c>
      <c r="B34" s="11" t="s">
        <v>102</v>
      </c>
      <c r="C34" s="14" t="n">
        <v>800</v>
      </c>
      <c r="D34" s="11" t="s">
        <v>28</v>
      </c>
      <c r="E34" s="13" t="s">
        <v>76</v>
      </c>
    </row>
    <row r="35" customFormat="false" ht="15" hidden="false" customHeight="false" outlineLevel="0" collapsed="false">
      <c r="A35" s="10" t="s">
        <v>103</v>
      </c>
      <c r="B35" s="11" t="s">
        <v>104</v>
      </c>
      <c r="C35" s="14" t="n">
        <v>30</v>
      </c>
      <c r="D35" s="11" t="s">
        <v>38</v>
      </c>
      <c r="E35" s="13" t="s">
        <v>76</v>
      </c>
    </row>
    <row r="36" customFormat="false" ht="15" hidden="false" customHeight="false" outlineLevel="0" collapsed="false">
      <c r="A36" s="10" t="s">
        <v>105</v>
      </c>
      <c r="B36" s="11" t="s">
        <v>106</v>
      </c>
      <c r="C36" s="14" t="n">
        <v>40</v>
      </c>
      <c r="D36" s="11" t="s">
        <v>38</v>
      </c>
      <c r="E36" s="13" t="s">
        <v>76</v>
      </c>
    </row>
    <row r="37" customFormat="false" ht="15" hidden="false" customHeight="false" outlineLevel="0" collapsed="false">
      <c r="A37" s="10" t="s">
        <v>107</v>
      </c>
      <c r="B37" s="11" t="s">
        <v>108</v>
      </c>
      <c r="C37" s="16" t="n">
        <v>1</v>
      </c>
      <c r="D37" s="11" t="s">
        <v>35</v>
      </c>
      <c r="E37" s="13" t="s">
        <v>109</v>
      </c>
    </row>
    <row r="38" customFormat="false" ht="15" hidden="false" customHeight="false" outlineLevel="0" collapsed="false">
      <c r="A38" s="10" t="s">
        <v>110</v>
      </c>
      <c r="B38" s="11" t="s">
        <v>111</v>
      </c>
      <c r="C38" s="16" t="n">
        <v>1.3</v>
      </c>
      <c r="D38" s="11" t="s">
        <v>35</v>
      </c>
      <c r="E38" s="13" t="s">
        <v>109</v>
      </c>
    </row>
    <row r="39" customFormat="false" ht="15" hidden="false" customHeight="false" outlineLevel="0" collapsed="false">
      <c r="A39" s="8" t="s">
        <v>112</v>
      </c>
      <c r="B39" s="9"/>
      <c r="C39" s="9"/>
      <c r="D39" s="9"/>
      <c r="E39" s="9"/>
    </row>
    <row r="40" customFormat="false" ht="15" hidden="false" customHeight="false" outlineLevel="0" collapsed="false">
      <c r="A40" s="10" t="s">
        <v>113</v>
      </c>
      <c r="B40" s="11" t="s">
        <v>114</v>
      </c>
      <c r="C40" s="14" t="n">
        <v>5.12</v>
      </c>
      <c r="D40" s="11" t="s">
        <v>44</v>
      </c>
      <c r="E40" s="13" t="s">
        <v>115</v>
      </c>
    </row>
    <row r="41" customFormat="false" ht="15" hidden="false" customHeight="false" outlineLevel="0" collapsed="false">
      <c r="A41" s="10" t="s">
        <v>116</v>
      </c>
      <c r="B41" s="11" t="s">
        <v>117</v>
      </c>
      <c r="C41" s="14" t="n">
        <v>51.2</v>
      </c>
      <c r="D41" s="11" t="s">
        <v>28</v>
      </c>
      <c r="E41" s="13" t="s">
        <v>76</v>
      </c>
    </row>
    <row r="42" customFormat="false" ht="15" hidden="false" customHeight="false" outlineLevel="0" collapsed="false">
      <c r="A42" s="10" t="s">
        <v>118</v>
      </c>
      <c r="B42" s="11" t="s">
        <v>119</v>
      </c>
      <c r="C42" s="14" t="n">
        <v>58.4</v>
      </c>
      <c r="D42" s="11" t="s">
        <v>28</v>
      </c>
      <c r="E42" s="13" t="s">
        <v>120</v>
      </c>
    </row>
    <row r="43" customFormat="false" ht="15" hidden="false" customHeight="false" outlineLevel="0" collapsed="false">
      <c r="A43" s="10" t="s">
        <v>121</v>
      </c>
      <c r="B43" s="11" t="s">
        <v>122</v>
      </c>
      <c r="C43" s="14" t="n">
        <v>44.8</v>
      </c>
      <c r="D43" s="11" t="s">
        <v>28</v>
      </c>
      <c r="E43" s="13" t="s">
        <v>123</v>
      </c>
    </row>
    <row r="44" customFormat="false" ht="15" hidden="false" customHeight="false" outlineLevel="0" collapsed="false">
      <c r="A44" s="10" t="s">
        <v>124</v>
      </c>
      <c r="B44" s="11" t="s">
        <v>125</v>
      </c>
      <c r="C44" s="17" t="n">
        <v>0.9</v>
      </c>
      <c r="D44" s="11" t="s">
        <v>35</v>
      </c>
      <c r="E44" s="13" t="s">
        <v>32</v>
      </c>
    </row>
    <row r="45" customFormat="false" ht="15" hidden="false" customHeight="false" outlineLevel="0" collapsed="false">
      <c r="A45" s="10" t="s">
        <v>126</v>
      </c>
      <c r="B45" s="11" t="s">
        <v>127</v>
      </c>
      <c r="C45" s="16" t="n">
        <v>0.95</v>
      </c>
      <c r="D45" s="11" t="s">
        <v>35</v>
      </c>
      <c r="E45" s="13" t="s">
        <v>32</v>
      </c>
    </row>
    <row r="46" customFormat="false" ht="15" hidden="false" customHeight="false" outlineLevel="0" collapsed="false">
      <c r="A46" s="10" t="s">
        <v>128</v>
      </c>
      <c r="B46" s="11" t="s">
        <v>129</v>
      </c>
      <c r="C46" s="12" t="n">
        <v>3</v>
      </c>
      <c r="D46" s="11" t="s">
        <v>35</v>
      </c>
      <c r="E46" s="13" t="s">
        <v>130</v>
      </c>
    </row>
    <row r="47" customFormat="false" ht="15" hidden="false" customHeight="false" outlineLevel="0" collapsed="false">
      <c r="A47" s="10" t="s">
        <v>131</v>
      </c>
      <c r="B47" s="11" t="s">
        <v>132</v>
      </c>
      <c r="C47" s="12" t="n">
        <v>10</v>
      </c>
      <c r="D47" s="11" t="s">
        <v>96</v>
      </c>
      <c r="E47" s="13" t="s">
        <v>133</v>
      </c>
    </row>
    <row r="48" customFormat="false" ht="15" hidden="false" customHeight="false" outlineLevel="0" collapsed="false">
      <c r="A48" s="10" t="s">
        <v>134</v>
      </c>
      <c r="B48" s="11" t="s">
        <v>135</v>
      </c>
      <c r="C48" s="16" t="n">
        <v>0.97</v>
      </c>
      <c r="D48" s="11" t="s">
        <v>35</v>
      </c>
      <c r="E48" s="13" t="s">
        <v>32</v>
      </c>
    </row>
    <row r="49" customFormat="false" ht="15" hidden="false" customHeight="false" outlineLevel="0" collapsed="false">
      <c r="A49" s="10" t="s">
        <v>136</v>
      </c>
      <c r="B49" s="11" t="s">
        <v>137</v>
      </c>
      <c r="C49" s="14" t="n">
        <v>125</v>
      </c>
      <c r="D49" s="11" t="s">
        <v>28</v>
      </c>
      <c r="E49" s="13" t="s">
        <v>76</v>
      </c>
    </row>
    <row r="50" customFormat="false" ht="15" hidden="false" customHeight="false" outlineLevel="0" collapsed="false">
      <c r="A50" s="10" t="s">
        <v>138</v>
      </c>
      <c r="B50" s="11" t="s">
        <v>139</v>
      </c>
      <c r="C50" s="14" t="n">
        <v>500</v>
      </c>
      <c r="D50" s="11" t="s">
        <v>28</v>
      </c>
      <c r="E50" s="13" t="s">
        <v>76</v>
      </c>
    </row>
    <row r="51" customFormat="false" ht="15" hidden="false" customHeight="false" outlineLevel="0" collapsed="false">
      <c r="A51" s="10" t="s">
        <v>140</v>
      </c>
      <c r="B51" s="11" t="s">
        <v>141</v>
      </c>
      <c r="C51" s="16" t="n">
        <v>0.5</v>
      </c>
      <c r="D51" s="11" t="s">
        <v>142</v>
      </c>
      <c r="E51" s="13" t="s">
        <v>76</v>
      </c>
    </row>
    <row r="52" customFormat="false" ht="15" hidden="false" customHeight="false" outlineLevel="0" collapsed="false">
      <c r="A52" s="8" t="s">
        <v>143</v>
      </c>
      <c r="B52" s="9"/>
      <c r="C52" s="9"/>
      <c r="D52" s="9"/>
      <c r="E52" s="9"/>
    </row>
    <row r="53" customFormat="false" ht="15" hidden="false" customHeight="false" outlineLevel="0" collapsed="false">
      <c r="A53" s="10" t="s">
        <v>144</v>
      </c>
      <c r="B53" s="11" t="s">
        <v>145</v>
      </c>
      <c r="C53" s="16" t="n">
        <v>3.65</v>
      </c>
      <c r="D53" s="11" t="s">
        <v>28</v>
      </c>
      <c r="E53" s="13" t="s">
        <v>146</v>
      </c>
    </row>
    <row r="54" customFormat="false" ht="15" hidden="false" customHeight="false" outlineLevel="0" collapsed="false">
      <c r="A54" s="10" t="s">
        <v>147</v>
      </c>
      <c r="B54" s="11" t="s">
        <v>148</v>
      </c>
      <c r="C54" s="16" t="n">
        <v>4.2</v>
      </c>
      <c r="D54" s="11" t="s">
        <v>28</v>
      </c>
      <c r="E54" s="13" t="s">
        <v>76</v>
      </c>
    </row>
    <row r="55" customFormat="false" ht="15" hidden="false" customHeight="false" outlineLevel="0" collapsed="false">
      <c r="A55" s="10" t="s">
        <v>149</v>
      </c>
      <c r="B55" s="11" t="s">
        <v>150</v>
      </c>
      <c r="C55" s="16" t="n">
        <v>3</v>
      </c>
      <c r="D55" s="11" t="s">
        <v>28</v>
      </c>
      <c r="E55" s="13" t="s">
        <v>76</v>
      </c>
    </row>
    <row r="56" customFormat="false" ht="15" hidden="false" customHeight="false" outlineLevel="0" collapsed="false">
      <c r="A56" s="10" t="s">
        <v>151</v>
      </c>
      <c r="B56" s="11" t="s">
        <v>152</v>
      </c>
      <c r="C56" s="14" t="n">
        <v>85</v>
      </c>
      <c r="D56" s="11" t="s">
        <v>153</v>
      </c>
      <c r="E56" s="13" t="s">
        <v>76</v>
      </c>
    </row>
    <row r="57" customFormat="false" ht="15" hidden="false" customHeight="false" outlineLevel="0" collapsed="false">
      <c r="A57" s="10" t="s">
        <v>154</v>
      </c>
      <c r="B57" s="11" t="s">
        <v>155</v>
      </c>
      <c r="C57" s="12" t="n">
        <v>96</v>
      </c>
      <c r="D57" s="11" t="s">
        <v>35</v>
      </c>
      <c r="E57" s="13" t="s">
        <v>156</v>
      </c>
    </row>
    <row r="58" customFormat="false" ht="15" hidden="false" customHeight="false" outlineLevel="0" collapsed="false">
      <c r="A58" s="10" t="s">
        <v>157</v>
      </c>
      <c r="B58" s="11" t="s">
        <v>158</v>
      </c>
      <c r="C58" s="12" t="n">
        <v>2</v>
      </c>
      <c r="D58" s="11" t="s">
        <v>35</v>
      </c>
      <c r="E58" s="13" t="s">
        <v>133</v>
      </c>
    </row>
    <row r="59" customFormat="false" ht="15" hidden="false" customHeight="false" outlineLevel="0" collapsed="false">
      <c r="A59" s="10" t="s">
        <v>159</v>
      </c>
      <c r="B59" s="11" t="s">
        <v>160</v>
      </c>
      <c r="C59" s="17" t="n">
        <v>0.9</v>
      </c>
      <c r="D59" s="11" t="s">
        <v>35</v>
      </c>
      <c r="E59" s="13" t="s">
        <v>32</v>
      </c>
    </row>
    <row r="60" customFormat="false" ht="15" hidden="false" customHeight="false" outlineLevel="0" collapsed="false">
      <c r="A60" s="10" t="s">
        <v>161</v>
      </c>
      <c r="B60" s="11" t="s">
        <v>162</v>
      </c>
      <c r="C60" s="14" t="n">
        <v>150</v>
      </c>
      <c r="D60" s="11" t="s">
        <v>96</v>
      </c>
      <c r="E60" s="13" t="s">
        <v>32</v>
      </c>
    </row>
    <row r="61" customFormat="false" ht="15" hidden="false" customHeight="false" outlineLevel="0" collapsed="false">
      <c r="A61" s="10" t="s">
        <v>163</v>
      </c>
      <c r="B61" s="11" t="s">
        <v>164</v>
      </c>
      <c r="C61" s="14" t="n">
        <v>60</v>
      </c>
      <c r="D61" s="11" t="s">
        <v>96</v>
      </c>
      <c r="E61" s="13" t="s">
        <v>32</v>
      </c>
    </row>
    <row r="62" customFormat="false" ht="15" hidden="false" customHeight="false" outlineLevel="0" collapsed="false">
      <c r="A62" s="10" t="s">
        <v>165</v>
      </c>
      <c r="B62" s="11" t="s">
        <v>166</v>
      </c>
      <c r="C62" s="18" t="n">
        <v>7.4</v>
      </c>
      <c r="D62" s="11" t="s">
        <v>96</v>
      </c>
      <c r="E62" s="13" t="s">
        <v>32</v>
      </c>
    </row>
    <row r="63" customFormat="false" ht="15" hidden="false" customHeight="false" outlineLevel="0" collapsed="false">
      <c r="A63" s="10" t="s">
        <v>167</v>
      </c>
      <c r="B63" s="11" t="s">
        <v>168</v>
      </c>
      <c r="C63" s="16" t="n">
        <v>0.92</v>
      </c>
      <c r="D63" s="11" t="s">
        <v>35</v>
      </c>
      <c r="E63" s="13" t="s">
        <v>32</v>
      </c>
    </row>
    <row r="64" customFormat="false" ht="15" hidden="false" customHeight="false" outlineLevel="0" collapsed="false">
      <c r="A64" s="8" t="s">
        <v>169</v>
      </c>
      <c r="B64" s="9"/>
      <c r="C64" s="9"/>
      <c r="D64" s="9"/>
      <c r="E64" s="9"/>
    </row>
    <row r="65" customFormat="false" ht="15" hidden="false" customHeight="false" outlineLevel="0" collapsed="false">
      <c r="A65" s="10" t="s">
        <v>170</v>
      </c>
      <c r="B65" s="11" t="s">
        <v>171</v>
      </c>
      <c r="C65" s="19" t="n">
        <v>0.0225</v>
      </c>
      <c r="D65" s="11" t="s">
        <v>172</v>
      </c>
      <c r="E65" s="13" t="s">
        <v>173</v>
      </c>
    </row>
    <row r="66" customFormat="false" ht="15" hidden="false" customHeight="false" outlineLevel="0" collapsed="false">
      <c r="A66" s="10" t="s">
        <v>174</v>
      </c>
      <c r="B66" s="11" t="s">
        <v>175</v>
      </c>
      <c r="C66" s="16" t="n">
        <v>0.87</v>
      </c>
      <c r="D66" s="11" t="s">
        <v>35</v>
      </c>
      <c r="E66" s="13" t="s">
        <v>176</v>
      </c>
    </row>
    <row r="67" customFormat="false" ht="15" hidden="false" customHeight="false" outlineLevel="0" collapsed="false">
      <c r="A67" s="10" t="s">
        <v>177</v>
      </c>
      <c r="B67" s="11" t="s">
        <v>178</v>
      </c>
      <c r="C67" s="16" t="n">
        <v>0.8</v>
      </c>
      <c r="D67" s="11" t="s">
        <v>35</v>
      </c>
      <c r="E67" s="13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4" customFormat="false" ht="15" hidden="false" customHeight="false" outlineLevel="0" collapsed="false">
      <c r="A4" s="7" t="s">
        <v>20</v>
      </c>
      <c r="B4" s="7" t="s">
        <v>22</v>
      </c>
      <c r="C4" s="7" t="s">
        <v>23</v>
      </c>
      <c r="D4" s="7" t="s">
        <v>182</v>
      </c>
    </row>
    <row r="5" customFormat="false" ht="15" hidden="false" customHeight="false" outlineLevel="0" collapsed="false">
      <c r="A5" s="8" t="s">
        <v>183</v>
      </c>
      <c r="B5" s="9"/>
      <c r="C5" s="9"/>
      <c r="D5" s="9"/>
    </row>
    <row r="6" customFormat="false" ht="15" hidden="false" customHeight="false" outlineLevel="0" collapsed="false">
      <c r="A6" s="11" t="s">
        <v>184</v>
      </c>
      <c r="B6" s="20" t="n">
        <f aca="false">Inputs!$C$7*Inputs!$C$9/1000</f>
        <v>7.36</v>
      </c>
      <c r="C6" s="11" t="s">
        <v>96</v>
      </c>
      <c r="D6" s="13" t="s">
        <v>185</v>
      </c>
    </row>
    <row r="7" customFormat="false" ht="15" hidden="false" customHeight="false" outlineLevel="0" collapsed="false">
      <c r="A7" s="11" t="s">
        <v>186</v>
      </c>
      <c r="B7" s="20" t="n">
        <f aca="false">Inputs!$C$8*PV_Sizing!$B$6</f>
        <v>14.72</v>
      </c>
      <c r="C7" s="11" t="s">
        <v>96</v>
      </c>
      <c r="D7" s="13" t="s">
        <v>187</v>
      </c>
    </row>
    <row r="8" customFormat="false" ht="15" hidden="false" customHeight="false" outlineLevel="0" collapsed="false">
      <c r="A8" s="11" t="s">
        <v>188</v>
      </c>
      <c r="B8" s="20" t="n">
        <f aca="false">Inputs!$C$10*Inputs!$C$11</f>
        <v>80</v>
      </c>
      <c r="C8" s="11" t="s">
        <v>189</v>
      </c>
      <c r="D8" s="13" t="s">
        <v>190</v>
      </c>
    </row>
    <row r="9" customFormat="false" ht="15" hidden="false" customHeight="false" outlineLevel="0" collapsed="false">
      <c r="A9" s="11" t="s">
        <v>191</v>
      </c>
      <c r="B9" s="20" t="n">
        <f aca="false">PV_Sizing!$B$8*Inputs!$C$12</f>
        <v>40</v>
      </c>
      <c r="C9" s="11" t="s">
        <v>189</v>
      </c>
      <c r="D9" s="13"/>
    </row>
    <row r="10" customFormat="false" ht="15" hidden="false" customHeight="false" outlineLevel="0" collapsed="false">
      <c r="A10" s="11" t="s">
        <v>192</v>
      </c>
      <c r="B10" s="20" t="n">
        <f aca="false">PV_Sizing!$B$8*Inputs!$C$13</f>
        <v>24</v>
      </c>
      <c r="C10" s="11" t="s">
        <v>189</v>
      </c>
      <c r="D10" s="13"/>
    </row>
    <row r="11" customFormat="false" ht="15" hidden="false" customHeight="false" outlineLevel="0" collapsed="false">
      <c r="A11" s="8" t="s">
        <v>193</v>
      </c>
      <c r="B11" s="9"/>
      <c r="C11" s="9"/>
      <c r="D11" s="9"/>
    </row>
    <row r="12" customFormat="false" ht="15" hidden="false" customHeight="false" outlineLevel="0" collapsed="false">
      <c r="A12" s="11" t="s">
        <v>194</v>
      </c>
      <c r="B12" s="20" t="n">
        <f aca="false">PV_Sizing!$B$9/(Inputs!$C$15*Inputs!$C$16*Inputs!$C$17)</f>
        <v>11.6959064327485</v>
      </c>
      <c r="C12" s="11" t="s">
        <v>195</v>
      </c>
      <c r="D12" s="13" t="s">
        <v>196</v>
      </c>
    </row>
    <row r="13" customFormat="false" ht="15" hidden="false" customHeight="false" outlineLevel="0" collapsed="false">
      <c r="A13" s="11" t="s">
        <v>197</v>
      </c>
      <c r="B13" s="21" t="n">
        <f aca="false">ROUNDUP(PV_Sizing!$B$12*1000/Inputs!$C$21,0)</f>
        <v>22</v>
      </c>
      <c r="C13" s="11" t="s">
        <v>35</v>
      </c>
      <c r="D13" s="13"/>
    </row>
    <row r="14" customFormat="false" ht="15" hidden="false" customHeight="false" outlineLevel="0" collapsed="false">
      <c r="A14" s="11" t="s">
        <v>198</v>
      </c>
      <c r="B14" s="21" t="n">
        <f aca="false">ROUNDUP(PV_Sizing!$B$13/Inputs!$C$29,0)</f>
        <v>2</v>
      </c>
      <c r="C14" s="11" t="s">
        <v>35</v>
      </c>
      <c r="D14" s="13" t="s">
        <v>199</v>
      </c>
    </row>
    <row r="15" customFormat="false" ht="15" hidden="false" customHeight="false" outlineLevel="0" collapsed="false">
      <c r="A15" s="11" t="s">
        <v>200</v>
      </c>
      <c r="B15" s="21" t="n">
        <f aca="false">PV_Sizing!$B$14*Inputs!$C$29</f>
        <v>24</v>
      </c>
      <c r="C15" s="11" t="s">
        <v>35</v>
      </c>
      <c r="D15" s="13"/>
    </row>
    <row r="16" customFormat="false" ht="15" hidden="false" customHeight="false" outlineLevel="0" collapsed="false">
      <c r="A16" s="11" t="s">
        <v>201</v>
      </c>
      <c r="B16" s="20" t="n">
        <f aca="false">PV_Sizing!$B$15*Inputs!$C$21/1000</f>
        <v>13.2</v>
      </c>
      <c r="C16" s="11" t="s">
        <v>195</v>
      </c>
      <c r="D16" s="13"/>
    </row>
    <row r="17" customFormat="false" ht="15" hidden="false" customHeight="false" outlineLevel="0" collapsed="false">
      <c r="A17" s="11" t="s">
        <v>202</v>
      </c>
      <c r="B17" s="20" t="n">
        <f aca="false">PV_Sizing!$B$16*Inputs!$C$15*Inputs!$C$16</f>
        <v>47.52</v>
      </c>
      <c r="C17" s="11" t="s">
        <v>189</v>
      </c>
      <c r="D17" s="13"/>
    </row>
    <row r="18" customFormat="false" ht="15" hidden="false" customHeight="false" outlineLevel="0" collapsed="false">
      <c r="A18" s="11" t="s">
        <v>203</v>
      </c>
      <c r="B18" s="20" t="n">
        <f aca="false">PV_Sizing!$B$17*Inputs!$C$17</f>
        <v>45.144</v>
      </c>
      <c r="C18" s="11" t="s">
        <v>189</v>
      </c>
      <c r="D18" s="13"/>
    </row>
    <row r="19" customFormat="false" ht="15" hidden="false" customHeight="false" outlineLevel="0" collapsed="false">
      <c r="A19" s="11" t="s">
        <v>204</v>
      </c>
      <c r="B19" s="20" t="n">
        <f aca="false">MAX(0,PV_Sizing!$B$8-PV_Sizing!$B$18)</f>
        <v>34.856</v>
      </c>
      <c r="C19" s="11" t="s">
        <v>189</v>
      </c>
      <c r="D19" s="13" t="s">
        <v>205</v>
      </c>
    </row>
    <row r="20" customFormat="false" ht="15" hidden="false" customHeight="false" outlineLevel="0" collapsed="false">
      <c r="A20" s="11" t="s">
        <v>206</v>
      </c>
      <c r="B20" s="22" t="n">
        <f aca="false">MIN(1,PV_Sizing!$B$18/PV_Sizing!$B$8)</f>
        <v>0.5643</v>
      </c>
      <c r="C20" s="11" t="s">
        <v>47</v>
      </c>
      <c r="D20" s="13"/>
    </row>
    <row r="21" customFormat="false" ht="15" hidden="false" customHeight="false" outlineLevel="0" collapsed="false">
      <c r="A21" s="11" t="s">
        <v>207</v>
      </c>
      <c r="B21" s="23" t="str">
        <f aca="false">IF(PV_Sizing!$B$16&gt;=PV_Sizing!$B$12,"PASS","FAIL")</f>
        <v>PASS</v>
      </c>
      <c r="C21" s="11"/>
      <c r="D21" s="13"/>
    </row>
    <row r="22" customFormat="false" ht="15" hidden="false" customHeight="false" outlineLevel="0" collapsed="false">
      <c r="A22" s="8" t="s">
        <v>208</v>
      </c>
      <c r="B22" s="9"/>
      <c r="C22" s="9"/>
      <c r="D22" s="9"/>
    </row>
    <row r="23" customFormat="false" ht="15" hidden="false" customHeight="false" outlineLevel="0" collapsed="false">
      <c r="A23" s="11" t="s">
        <v>209</v>
      </c>
      <c r="B23" s="20" t="n">
        <f aca="false">Inputs!$C$22*(1+Inputs!$C$26/100*(Inputs!$C$18-25))</f>
        <v>51.50475</v>
      </c>
      <c r="C23" s="11" t="s">
        <v>28</v>
      </c>
      <c r="D23" s="13"/>
    </row>
    <row r="24" customFormat="false" ht="15" hidden="false" customHeight="false" outlineLevel="0" collapsed="false">
      <c r="A24" s="11" t="s">
        <v>210</v>
      </c>
      <c r="B24" s="20" t="n">
        <f aca="false">Inputs!$C$23*(1+Inputs!$C$27/100*(Inputs!$C$19-25))</f>
        <v>36.08425</v>
      </c>
      <c r="C24" s="11" t="s">
        <v>28</v>
      </c>
      <c r="D24" s="13"/>
    </row>
    <row r="25" customFormat="false" ht="15" hidden="false" customHeight="false" outlineLevel="0" collapsed="false">
      <c r="A25" s="11" t="s">
        <v>211</v>
      </c>
      <c r="B25" s="20" t="n">
        <f aca="false">Inputs!$C$23*(1+Inputs!$C$27/100*(Inputs!$C$18-25))</f>
        <v>43.30525</v>
      </c>
      <c r="C25" s="11" t="s">
        <v>28</v>
      </c>
      <c r="D25" s="13"/>
    </row>
    <row r="26" customFormat="false" ht="15" hidden="false" customHeight="false" outlineLevel="0" collapsed="false">
      <c r="A26" s="11" t="s">
        <v>212</v>
      </c>
      <c r="B26" s="20" t="n">
        <f aca="false">Inputs!$C$29*PV_Sizing!$B$23</f>
        <v>618.057</v>
      </c>
      <c r="C26" s="11" t="s">
        <v>28</v>
      </c>
      <c r="D26" s="13"/>
    </row>
    <row r="27" customFormat="false" ht="15" hidden="false" customHeight="false" outlineLevel="0" collapsed="false">
      <c r="A27" s="11" t="s">
        <v>213</v>
      </c>
      <c r="B27" s="20" t="n">
        <f aca="false">Inputs!$C$29*PV_Sizing!$B$24</f>
        <v>433.011</v>
      </c>
      <c r="C27" s="11" t="s">
        <v>28</v>
      </c>
      <c r="D27" s="13"/>
    </row>
    <row r="28" customFormat="false" ht="15" hidden="false" customHeight="false" outlineLevel="0" collapsed="false">
      <c r="A28" s="11" t="s">
        <v>214</v>
      </c>
      <c r="B28" s="20" t="n">
        <f aca="false">Inputs!$C$29*PV_Sizing!$B$25</f>
        <v>519.663</v>
      </c>
      <c r="C28" s="11" t="s">
        <v>28</v>
      </c>
      <c r="D28" s="13"/>
    </row>
    <row r="29" customFormat="false" ht="15" hidden="false" customHeight="false" outlineLevel="0" collapsed="false">
      <c r="A29" s="11" t="s">
        <v>215</v>
      </c>
      <c r="B29" s="20" t="n">
        <f aca="false">Inputs!$C$29*Inputs!$C$23</f>
        <v>498</v>
      </c>
      <c r="C29" s="11" t="s">
        <v>28</v>
      </c>
      <c r="D29" s="13"/>
    </row>
    <row r="30" customFormat="false" ht="15" hidden="false" customHeight="false" outlineLevel="0" collapsed="false">
      <c r="A30" s="11" t="s">
        <v>216</v>
      </c>
      <c r="B30" s="23" t="str">
        <f aca="false">IF(PV_Sizing!$B$26&lt;=Inputs!$C$32,"PASS","FAIL")</f>
        <v>PASS</v>
      </c>
      <c r="C30" s="11"/>
      <c r="D30" s="13"/>
    </row>
    <row r="31" customFormat="false" ht="15" hidden="false" customHeight="false" outlineLevel="0" collapsed="false">
      <c r="A31" s="11" t="s">
        <v>217</v>
      </c>
      <c r="B31" s="23" t="str">
        <f aca="false">IF(PV_Sizing!$B$27&gt;=Inputs!$C$33,"PASS","FAIL")</f>
        <v>PASS</v>
      </c>
      <c r="C31" s="11"/>
      <c r="D31" s="13"/>
    </row>
    <row r="32" customFormat="false" ht="15" hidden="false" customHeight="false" outlineLevel="0" collapsed="false">
      <c r="A32" s="11" t="s">
        <v>218</v>
      </c>
      <c r="B32" s="23" t="str">
        <f aca="false">IF(PV_Sizing!$B$28&lt;=Inputs!$C$34,"PASS","FAIL")</f>
        <v>PASS</v>
      </c>
      <c r="C32" s="11"/>
      <c r="D32" s="13"/>
    </row>
    <row r="33" customFormat="false" ht="15" hidden="false" customHeight="false" outlineLevel="0" collapsed="false">
      <c r="A33" s="11" t="s">
        <v>219</v>
      </c>
      <c r="B33" s="20" t="n">
        <f aca="false">PV_Sizing!$B$14*Inputs!$C$24</f>
        <v>28</v>
      </c>
      <c r="C33" s="11" t="s">
        <v>38</v>
      </c>
      <c r="D33" s="13"/>
    </row>
    <row r="34" customFormat="false" ht="15" hidden="false" customHeight="false" outlineLevel="0" collapsed="false">
      <c r="A34" s="11" t="s">
        <v>220</v>
      </c>
      <c r="B34" s="20" t="n">
        <f aca="false">PV_Sizing!$B$14*Inputs!$C$25</f>
        <v>26.52</v>
      </c>
      <c r="C34" s="11" t="s">
        <v>38</v>
      </c>
      <c r="D34" s="13"/>
    </row>
    <row r="35" customFormat="false" ht="15" hidden="false" customHeight="false" outlineLevel="0" collapsed="false">
      <c r="A35" s="11" t="s">
        <v>221</v>
      </c>
      <c r="B35" s="23" t="str">
        <f aca="false">IF(PV_Sizing!$B$33&lt;=Inputs!$C$36,"PASS","FAIL")</f>
        <v>PASS</v>
      </c>
      <c r="C35" s="11"/>
      <c r="D35" s="13"/>
    </row>
    <row r="36" customFormat="false" ht="15" hidden="false" customHeight="false" outlineLevel="0" collapsed="false">
      <c r="A36" s="11" t="s">
        <v>222</v>
      </c>
      <c r="B36" s="23" t="str">
        <f aca="false">IF(PV_Sizing!$B$34&lt;=Inputs!$C$35,"PASS","FAIL")</f>
        <v>PASS</v>
      </c>
      <c r="C36" s="11"/>
      <c r="D36" s="13"/>
    </row>
    <row r="37" customFormat="false" ht="15" hidden="false" customHeight="false" outlineLevel="0" collapsed="false">
      <c r="A37" s="8" t="s">
        <v>223</v>
      </c>
      <c r="B37" s="9"/>
      <c r="C37" s="9"/>
      <c r="D37" s="9"/>
    </row>
    <row r="38" customFormat="false" ht="15" hidden="false" customHeight="false" outlineLevel="0" collapsed="false">
      <c r="A38" s="11" t="s">
        <v>224</v>
      </c>
      <c r="B38" s="24" t="n">
        <f aca="false">PV_Sizing!$B$16/Inputs!$C$31</f>
        <v>1.1</v>
      </c>
      <c r="C38" s="11" t="s">
        <v>35</v>
      </c>
      <c r="D38" s="13"/>
    </row>
    <row r="39" customFormat="false" ht="15" hidden="false" customHeight="false" outlineLevel="0" collapsed="false">
      <c r="A39" s="11" t="s">
        <v>225</v>
      </c>
      <c r="B39" s="23" t="str">
        <f aca="false">IF(AND(PV_Sizing!$B$38&gt;=Inputs!$C$37,PV_Sizing!$B$38&lt;=Inputs!$C$38),"PASS","FAIL")</f>
        <v>PASS</v>
      </c>
      <c r="C39" s="11"/>
      <c r="D39" s="13"/>
    </row>
    <row r="40" customFormat="false" ht="15" hidden="false" customHeight="false" outlineLevel="0" collapsed="false">
      <c r="A40" s="11" t="s">
        <v>226</v>
      </c>
      <c r="B40" s="20" t="n">
        <f aca="false">Inputs!$C$31*1000/(SQRT(3)*Inputs!$C$6)</f>
        <v>17.3205080756888</v>
      </c>
      <c r="C40" s="11" t="s">
        <v>38</v>
      </c>
      <c r="D40" s="13" t="s">
        <v>227</v>
      </c>
    </row>
  </sheetData>
  <conditionalFormatting sqref="B5:B8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181</v>
      </c>
    </row>
    <row r="4" customFormat="false" ht="15" hidden="false" customHeight="false" outlineLevel="0" collapsed="false">
      <c r="A4" s="7" t="s">
        <v>20</v>
      </c>
      <c r="B4" s="7" t="s">
        <v>22</v>
      </c>
      <c r="C4" s="7" t="s">
        <v>23</v>
      </c>
      <c r="D4" s="7" t="s">
        <v>182</v>
      </c>
    </row>
    <row r="5" customFormat="false" ht="15" hidden="false" customHeight="false" outlineLevel="0" collapsed="false">
      <c r="A5" s="8" t="s">
        <v>229</v>
      </c>
      <c r="B5" s="9"/>
      <c r="C5" s="9"/>
      <c r="D5" s="9"/>
    </row>
    <row r="6" customFormat="false" ht="15" hidden="false" customHeight="false" outlineLevel="0" collapsed="false">
      <c r="A6" s="11" t="s">
        <v>230</v>
      </c>
      <c r="B6" s="20" t="n">
        <f aca="false">PV_Sizing!$B$10</f>
        <v>24</v>
      </c>
      <c r="C6" s="11" t="s">
        <v>189</v>
      </c>
      <c r="D6" s="13" t="s">
        <v>231</v>
      </c>
    </row>
    <row r="7" customFormat="false" ht="15" hidden="false" customHeight="false" outlineLevel="0" collapsed="false">
      <c r="A7" s="11" t="s">
        <v>232</v>
      </c>
      <c r="B7" s="20" t="n">
        <f aca="false">BESS_Sizing!$B$6/(Inputs!$C$44*Inputs!$C$45)</f>
        <v>28.0701754385965</v>
      </c>
      <c r="C7" s="11" t="s">
        <v>44</v>
      </c>
      <c r="D7" s="13" t="s">
        <v>233</v>
      </c>
    </row>
    <row r="8" customFormat="false" ht="15" hidden="false" customHeight="false" outlineLevel="0" collapsed="false">
      <c r="A8" s="11" t="s">
        <v>197</v>
      </c>
      <c r="B8" s="21" t="n">
        <f aca="false">ROUNDUP(BESS_Sizing!$B$7/Inputs!$C$40,0)</f>
        <v>6</v>
      </c>
      <c r="C8" s="11" t="s">
        <v>35</v>
      </c>
      <c r="D8" s="13"/>
    </row>
    <row r="9" customFormat="false" ht="15" hidden="false" customHeight="false" outlineLevel="0" collapsed="false">
      <c r="A9" s="11" t="s">
        <v>234</v>
      </c>
      <c r="B9" s="21" t="n">
        <f aca="false">ROUNDUP(BESS_Sizing!$B$8/Inputs!$C$46,0)</f>
        <v>2</v>
      </c>
      <c r="C9" s="11" t="s">
        <v>35</v>
      </c>
      <c r="D9" s="13" t="s">
        <v>235</v>
      </c>
    </row>
    <row r="10" customFormat="false" ht="15" hidden="false" customHeight="false" outlineLevel="0" collapsed="false">
      <c r="A10" s="11" t="s">
        <v>200</v>
      </c>
      <c r="B10" s="21" t="n">
        <f aca="false">Inputs!$C$46*BESS_Sizing!$B$9</f>
        <v>6</v>
      </c>
      <c r="C10" s="11" t="s">
        <v>35</v>
      </c>
      <c r="D10" s="13"/>
    </row>
    <row r="11" customFormat="false" ht="15" hidden="false" customHeight="false" outlineLevel="0" collapsed="false">
      <c r="A11" s="11" t="s">
        <v>236</v>
      </c>
      <c r="B11" s="20" t="n">
        <f aca="false">BESS_Sizing!$B$10*Inputs!$C$40</f>
        <v>30.72</v>
      </c>
      <c r="C11" s="11" t="s">
        <v>44</v>
      </c>
      <c r="D11" s="13"/>
    </row>
    <row r="12" customFormat="false" ht="15" hidden="false" customHeight="false" outlineLevel="0" collapsed="false">
      <c r="A12" s="11" t="s">
        <v>237</v>
      </c>
      <c r="B12" s="20" t="n">
        <f aca="false">BESS_Sizing!$B$11*Inputs!$C$44*Inputs!$C$45</f>
        <v>26.2656</v>
      </c>
      <c r="C12" s="11" t="s">
        <v>44</v>
      </c>
      <c r="D12" s="13"/>
    </row>
    <row r="13" customFormat="false" ht="15" hidden="false" customHeight="false" outlineLevel="0" collapsed="false">
      <c r="A13" s="11" t="s">
        <v>238</v>
      </c>
      <c r="B13" s="23" t="str">
        <f aca="false">IF(BESS_Sizing!$B$12&gt;=BESS_Sizing!$B$6,"PASS","FAIL")</f>
        <v>PASS</v>
      </c>
      <c r="C13" s="11"/>
      <c r="D13" s="13"/>
    </row>
    <row r="14" customFormat="false" ht="15" hidden="false" customHeight="false" outlineLevel="0" collapsed="false">
      <c r="A14" s="8" t="s">
        <v>239</v>
      </c>
      <c r="B14" s="9"/>
      <c r="C14" s="9"/>
      <c r="D14" s="9"/>
    </row>
    <row r="15" customFormat="false" ht="15" hidden="false" customHeight="false" outlineLevel="0" collapsed="false">
      <c r="A15" s="11" t="s">
        <v>240</v>
      </c>
      <c r="B15" s="20" t="n">
        <f aca="false">Inputs!$C$46*Inputs!$C$41</f>
        <v>153.6</v>
      </c>
      <c r="C15" s="11" t="s">
        <v>28</v>
      </c>
      <c r="D15" s="13"/>
    </row>
    <row r="16" customFormat="false" ht="15" hidden="false" customHeight="false" outlineLevel="0" collapsed="false">
      <c r="A16" s="11" t="s">
        <v>241</v>
      </c>
      <c r="B16" s="20" t="n">
        <f aca="false">Inputs!$C$46*Inputs!$C$42</f>
        <v>175.2</v>
      </c>
      <c r="C16" s="11" t="s">
        <v>28</v>
      </c>
      <c r="D16" s="13"/>
    </row>
    <row r="17" customFormat="false" ht="15" hidden="false" customHeight="false" outlineLevel="0" collapsed="false">
      <c r="A17" s="11" t="s">
        <v>242</v>
      </c>
      <c r="B17" s="20" t="n">
        <f aca="false">Inputs!$C$46*Inputs!$C$43</f>
        <v>134.4</v>
      </c>
      <c r="C17" s="11" t="s">
        <v>28</v>
      </c>
      <c r="D17" s="13"/>
    </row>
    <row r="18" customFormat="false" ht="15" hidden="false" customHeight="false" outlineLevel="0" collapsed="false">
      <c r="A18" s="11" t="s">
        <v>243</v>
      </c>
      <c r="B18" s="23" t="str">
        <f aca="false">IF(AND(BESS_Sizing!$B$16&lt;=Inputs!$C$50,BESS_Sizing!$B$17&gt;=Inputs!$C$49),"PASS","FAIL")</f>
        <v>PASS</v>
      </c>
      <c r="C18" s="11"/>
      <c r="D18" s="13"/>
    </row>
    <row r="19" customFormat="false" ht="15" hidden="false" customHeight="false" outlineLevel="0" collapsed="false">
      <c r="A19" s="11" t="s">
        <v>244</v>
      </c>
      <c r="B19" s="20" t="n">
        <f aca="false">Inputs!$C$47*1000/(Inputs!$C$48*BESS_Sizing!$B$15)</f>
        <v>67.1176975945017</v>
      </c>
      <c r="C19" s="11" t="s">
        <v>38</v>
      </c>
      <c r="D19" s="13"/>
    </row>
    <row r="20" customFormat="false" ht="15" hidden="false" customHeight="false" outlineLevel="0" collapsed="false">
      <c r="A20" s="11" t="s">
        <v>245</v>
      </c>
      <c r="B20" s="20" t="n">
        <f aca="false">BESS_Sizing!$B$19/BESS_Sizing!$B$9</f>
        <v>33.5588487972509</v>
      </c>
      <c r="C20" s="11" t="s">
        <v>38</v>
      </c>
      <c r="D20" s="13"/>
    </row>
    <row r="21" customFormat="false" ht="15" hidden="false" customHeight="false" outlineLevel="0" collapsed="false">
      <c r="A21" s="11" t="s">
        <v>246</v>
      </c>
      <c r="B21" s="20" t="n">
        <f aca="false">Inputs!$C$47*1000/(SQRT(3)*Inputs!$C$6)</f>
        <v>14.4337567297406</v>
      </c>
      <c r="C21" s="11" t="s">
        <v>38</v>
      </c>
      <c r="D21" s="13" t="s">
        <v>247</v>
      </c>
    </row>
    <row r="22" customFormat="false" ht="15" hidden="false" customHeight="false" outlineLevel="0" collapsed="false">
      <c r="A22" s="11" t="s">
        <v>248</v>
      </c>
      <c r="B22" s="20" t="n">
        <f aca="false">Inputs!$C$47/BESS_Sizing!$B$11</f>
        <v>0.325520833333333</v>
      </c>
      <c r="C22" s="11" t="s">
        <v>142</v>
      </c>
      <c r="D22" s="13"/>
    </row>
    <row r="23" customFormat="false" ht="15" hidden="false" customHeight="false" outlineLevel="0" collapsed="false">
      <c r="A23" s="11" t="s">
        <v>249</v>
      </c>
      <c r="B23" s="23" t="str">
        <f aca="false">IF(BESS_Sizing!$B$22&lt;=Inputs!$C$51,"PASS","FAIL")</f>
        <v>PASS</v>
      </c>
      <c r="C23" s="11"/>
      <c r="D23" s="13"/>
    </row>
    <row r="24" customFormat="false" ht="15" hidden="false" customHeight="false" outlineLevel="0" collapsed="false">
      <c r="A24" s="11" t="s">
        <v>250</v>
      </c>
      <c r="B24" s="25" t="n">
        <f aca="false">BESS_Sizing!$B$12/Inputs!$C$47</f>
        <v>2.62656</v>
      </c>
      <c r="C24" s="11" t="s">
        <v>251</v>
      </c>
      <c r="D24" s="13"/>
    </row>
    <row r="25" customFormat="false" ht="15" hidden="false" customHeight="false" outlineLevel="0" collapsed="false">
      <c r="A25" s="11" t="s">
        <v>252</v>
      </c>
      <c r="B25" s="26" t="n">
        <f aca="false">MIN(1,Inputs!$C$47/PV_Sizing!$B$7)</f>
        <v>0.679347826086957</v>
      </c>
      <c r="C25" s="11" t="s">
        <v>47</v>
      </c>
      <c r="D25" s="13" t="s">
        <v>253</v>
      </c>
    </row>
  </sheetData>
  <conditionalFormatting sqref="B5:B6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254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7" t="s">
        <v>20</v>
      </c>
      <c r="B4" s="7" t="s">
        <v>22</v>
      </c>
      <c r="C4" s="7" t="s">
        <v>23</v>
      </c>
      <c r="D4" s="7" t="s">
        <v>182</v>
      </c>
    </row>
    <row r="5" customFormat="false" ht="15" hidden="false" customHeight="false" outlineLevel="0" collapsed="false">
      <c r="A5" s="8" t="s">
        <v>256</v>
      </c>
      <c r="B5" s="9"/>
      <c r="C5" s="9"/>
      <c r="D5" s="9"/>
    </row>
    <row r="6" customFormat="false" ht="15" hidden="false" customHeight="false" outlineLevel="0" collapsed="false">
      <c r="A6" s="11" t="s">
        <v>257</v>
      </c>
      <c r="B6" s="25" t="n">
        <f aca="false">Inputs!$C$57*Inputs!$C$53</f>
        <v>350.4</v>
      </c>
      <c r="C6" s="11" t="s">
        <v>28</v>
      </c>
      <c r="D6" s="13"/>
    </row>
    <row r="7" customFormat="false" ht="15" hidden="false" customHeight="false" outlineLevel="0" collapsed="false">
      <c r="A7" s="11" t="s">
        <v>258</v>
      </c>
      <c r="B7" s="25" t="n">
        <f aca="false">Inputs!$C$57*Inputs!$C$54</f>
        <v>403.2</v>
      </c>
      <c r="C7" s="11" t="s">
        <v>28</v>
      </c>
      <c r="D7" s="13"/>
    </row>
    <row r="8" customFormat="false" ht="15" hidden="false" customHeight="false" outlineLevel="0" collapsed="false">
      <c r="A8" s="11" t="s">
        <v>259</v>
      </c>
      <c r="B8" s="25" t="n">
        <f aca="false">Inputs!$C$57*Inputs!$C$55</f>
        <v>288</v>
      </c>
      <c r="C8" s="11" t="s">
        <v>28</v>
      </c>
      <c r="D8" s="13"/>
    </row>
    <row r="9" customFormat="false" ht="15" hidden="false" customHeight="false" outlineLevel="0" collapsed="false">
      <c r="A9" s="11" t="s">
        <v>260</v>
      </c>
      <c r="B9" s="21" t="n">
        <f aca="false">Inputs!$C$58*Inputs!$C$56</f>
        <v>170</v>
      </c>
      <c r="C9" s="11" t="s">
        <v>153</v>
      </c>
      <c r="D9" s="13"/>
    </row>
    <row r="10" customFormat="false" ht="15" hidden="false" customHeight="false" outlineLevel="0" collapsed="false">
      <c r="A10" s="11" t="s">
        <v>261</v>
      </c>
      <c r="B10" s="25" t="n">
        <f aca="false">EV_Pack!$B$6*EV_Pack!$B$9/1000</f>
        <v>59.568</v>
      </c>
      <c r="C10" s="11" t="s">
        <v>44</v>
      </c>
      <c r="D10" s="13"/>
    </row>
    <row r="11" customFormat="false" ht="15" hidden="false" customHeight="false" outlineLevel="0" collapsed="false">
      <c r="A11" s="11" t="s">
        <v>262</v>
      </c>
      <c r="B11" s="25" t="n">
        <f aca="false">EV_Pack!$B$10*Inputs!$C$59</f>
        <v>53.6112</v>
      </c>
      <c r="C11" s="11" t="s">
        <v>44</v>
      </c>
      <c r="D11" s="13"/>
    </row>
    <row r="12" customFormat="false" ht="15" hidden="false" customHeight="false" outlineLevel="0" collapsed="false">
      <c r="A12" s="11" t="s">
        <v>263</v>
      </c>
      <c r="B12" s="21" t="n">
        <f aca="false">Inputs!$C$57*Inputs!$C$58</f>
        <v>192</v>
      </c>
      <c r="C12" s="11" t="s">
        <v>35</v>
      </c>
      <c r="D12" s="13"/>
    </row>
    <row r="13" customFormat="false" ht="15" hidden="false" customHeight="false" outlineLevel="0" collapsed="false">
      <c r="A13" s="8" t="s">
        <v>264</v>
      </c>
      <c r="B13" s="9"/>
      <c r="C13" s="9"/>
      <c r="D13" s="9"/>
    </row>
    <row r="14" customFormat="false" ht="15" hidden="false" customHeight="false" outlineLevel="0" collapsed="false">
      <c r="A14" s="11" t="s">
        <v>265</v>
      </c>
      <c r="B14" s="21" t="n">
        <f aca="false">Inputs!$C$60*1000/EV_Pack!$B$8</f>
        <v>520.833333333333</v>
      </c>
      <c r="C14" s="11" t="s">
        <v>38</v>
      </c>
      <c r="D14" s="13"/>
    </row>
    <row r="15" customFormat="false" ht="15" hidden="false" customHeight="false" outlineLevel="0" collapsed="false">
      <c r="A15" s="11" t="s">
        <v>266</v>
      </c>
      <c r="B15" s="21" t="n">
        <f aca="false">Inputs!$C$61*1000/EV_Pack!$B$6</f>
        <v>171.232876712329</v>
      </c>
      <c r="C15" s="11" t="s">
        <v>38</v>
      </c>
      <c r="D15" s="13"/>
    </row>
    <row r="16" customFormat="false" ht="15" hidden="false" customHeight="false" outlineLevel="0" collapsed="false">
      <c r="A16" s="11" t="s">
        <v>267</v>
      </c>
      <c r="B16" s="25" t="n">
        <f aca="false">EV_Pack!$B$14/EV_Pack!$B$9</f>
        <v>3.06372549019608</v>
      </c>
      <c r="C16" s="11" t="s">
        <v>142</v>
      </c>
      <c r="D16" s="13"/>
    </row>
    <row r="17" customFormat="false" ht="15" hidden="false" customHeight="false" outlineLevel="0" collapsed="false">
      <c r="A17" s="11" t="s">
        <v>268</v>
      </c>
      <c r="B17" s="21" t="n">
        <f aca="false">1.25*EV_Pack!$B$15</f>
        <v>214.041095890411</v>
      </c>
      <c r="C17" s="11" t="s">
        <v>38</v>
      </c>
      <c r="D17" s="13" t="s">
        <v>269</v>
      </c>
    </row>
    <row r="18" customFormat="false" ht="15" hidden="false" customHeight="false" outlineLevel="0" collapsed="false">
      <c r="A18" s="8" t="s">
        <v>270</v>
      </c>
      <c r="B18" s="9"/>
      <c r="C18" s="9"/>
      <c r="D18" s="9"/>
    </row>
    <row r="19" customFormat="false" ht="15" hidden="false" customHeight="false" outlineLevel="0" collapsed="false">
      <c r="A19" s="11" t="s">
        <v>271</v>
      </c>
      <c r="B19" s="20" t="n">
        <f aca="false">MIN(Inputs!$C$62,PV_Sizing!$B$6)</f>
        <v>7.36</v>
      </c>
      <c r="C19" s="11" t="s">
        <v>96</v>
      </c>
      <c r="D19" s="13"/>
    </row>
    <row r="20" customFormat="false" ht="15" hidden="false" customHeight="false" outlineLevel="0" collapsed="false">
      <c r="A20" s="11" t="s">
        <v>272</v>
      </c>
      <c r="B20" s="20" t="n">
        <f aca="false">EV_Pack!$B$19*Inputs!$C$63</f>
        <v>6.7712</v>
      </c>
      <c r="C20" s="11" t="s">
        <v>96</v>
      </c>
      <c r="D20" s="13"/>
    </row>
    <row r="21" customFormat="false" ht="15" hidden="false" customHeight="false" outlineLevel="0" collapsed="false">
      <c r="A21" s="11" t="s">
        <v>273</v>
      </c>
      <c r="B21" s="20" t="n">
        <f aca="false">Inputs!$C$11*Inputs!$C$63</f>
        <v>18.4</v>
      </c>
      <c r="C21" s="11" t="s">
        <v>44</v>
      </c>
      <c r="D21" s="13"/>
    </row>
    <row r="22" customFormat="false" ht="15" hidden="false" customHeight="false" outlineLevel="0" collapsed="false">
      <c r="A22" s="11" t="s">
        <v>274</v>
      </c>
      <c r="B22" s="20" t="n">
        <f aca="false">Inputs!$C$11/EV_Pack!$B$19</f>
        <v>2.71739130434783</v>
      </c>
      <c r="C22" s="11" t="s">
        <v>251</v>
      </c>
      <c r="D22" s="13"/>
    </row>
    <row r="23" customFormat="false" ht="15" hidden="false" customHeight="false" outlineLevel="0" collapsed="false">
      <c r="A23" s="11" t="s">
        <v>275</v>
      </c>
      <c r="B23" s="25" t="n">
        <f aca="false">EV_Pack!$B$20*1000/EV_Pack!$B$6</f>
        <v>19.324200913242</v>
      </c>
      <c r="C23" s="11" t="s">
        <v>38</v>
      </c>
      <c r="D23" s="13"/>
    </row>
    <row r="24" customFormat="false" ht="15" hidden="false" customHeight="false" outlineLevel="0" collapsed="false">
      <c r="A24" s="11" t="s">
        <v>276</v>
      </c>
      <c r="B24" s="26" t="n">
        <f aca="false">EV_Pack!$B$21/EV_Pack!$B$11</f>
        <v>0.343211866177217</v>
      </c>
      <c r="C24" s="11" t="s">
        <v>47</v>
      </c>
      <c r="D24" s="13"/>
    </row>
    <row r="25" customFormat="false" ht="15" hidden="false" customHeight="false" outlineLevel="0" collapsed="false">
      <c r="A25" s="11" t="s">
        <v>277</v>
      </c>
      <c r="B25" s="23" t="str">
        <f aca="false">IF(EV_Pack!$B$11&gt;=EV_Pack!$B$21,"PASS","FAIL")</f>
        <v>PASS</v>
      </c>
      <c r="C25" s="11"/>
      <c r="D25" s="13"/>
    </row>
  </sheetData>
  <conditionalFormatting sqref="B5:B6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34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4" customFormat="false" ht="45" hidden="false" customHeight="true" outlineLevel="0" collapsed="false">
      <c r="A4" s="7" t="s">
        <v>280</v>
      </c>
      <c r="B4" s="7" t="s">
        <v>281</v>
      </c>
      <c r="C4" s="7" t="s">
        <v>282</v>
      </c>
      <c r="D4" s="7"/>
      <c r="E4" s="7" t="s">
        <v>283</v>
      </c>
    </row>
    <row r="5" customFormat="false" ht="15" hidden="false" customHeight="false" outlineLevel="0" collapsed="false">
      <c r="A5" s="14" t="n">
        <v>1.5</v>
      </c>
      <c r="B5" s="14" t="n">
        <v>19.5</v>
      </c>
      <c r="C5" s="14" t="n">
        <v>17.5</v>
      </c>
      <c r="E5" s="14" t="n">
        <v>6</v>
      </c>
    </row>
    <row r="6" customFormat="false" ht="15" hidden="false" customHeight="false" outlineLevel="0" collapsed="false">
      <c r="A6" s="14" t="n">
        <v>2.5</v>
      </c>
      <c r="B6" s="14" t="n">
        <v>27</v>
      </c>
      <c r="C6" s="14" t="n">
        <v>24</v>
      </c>
      <c r="E6" s="14" t="n">
        <v>10</v>
      </c>
    </row>
    <row r="7" customFormat="false" ht="15" hidden="false" customHeight="false" outlineLevel="0" collapsed="false">
      <c r="A7" s="14" t="n">
        <v>4</v>
      </c>
      <c r="B7" s="14" t="n">
        <v>36</v>
      </c>
      <c r="C7" s="14" t="n">
        <v>32</v>
      </c>
      <c r="E7" s="14" t="n">
        <v>16</v>
      </c>
    </row>
    <row r="8" customFormat="false" ht="15" hidden="false" customHeight="false" outlineLevel="0" collapsed="false">
      <c r="A8" s="14" t="n">
        <v>6</v>
      </c>
      <c r="B8" s="14" t="n">
        <v>46</v>
      </c>
      <c r="C8" s="14" t="n">
        <v>41</v>
      </c>
      <c r="E8" s="14" t="n">
        <v>20</v>
      </c>
    </row>
    <row r="9" customFormat="false" ht="15" hidden="false" customHeight="false" outlineLevel="0" collapsed="false">
      <c r="A9" s="14" t="n">
        <v>10</v>
      </c>
      <c r="B9" s="14" t="n">
        <v>63</v>
      </c>
      <c r="C9" s="14" t="n">
        <v>57</v>
      </c>
      <c r="E9" s="14" t="n">
        <v>25</v>
      </c>
    </row>
    <row r="10" customFormat="false" ht="15" hidden="false" customHeight="false" outlineLevel="0" collapsed="false">
      <c r="A10" s="14" t="n">
        <v>16</v>
      </c>
      <c r="B10" s="14" t="n">
        <v>85</v>
      </c>
      <c r="C10" s="14" t="n">
        <v>76</v>
      </c>
      <c r="E10" s="14" t="n">
        <v>32</v>
      </c>
    </row>
    <row r="11" customFormat="false" ht="15" hidden="false" customHeight="false" outlineLevel="0" collapsed="false">
      <c r="A11" s="14" t="n">
        <v>25</v>
      </c>
      <c r="B11" s="14" t="n">
        <v>112</v>
      </c>
      <c r="C11" s="14" t="n">
        <v>96</v>
      </c>
      <c r="E11" s="14" t="n">
        <v>40</v>
      </c>
    </row>
    <row r="12" customFormat="false" ht="15" hidden="false" customHeight="false" outlineLevel="0" collapsed="false">
      <c r="A12" s="14" t="n">
        <v>35</v>
      </c>
      <c r="B12" s="14" t="n">
        <v>138</v>
      </c>
      <c r="C12" s="14" t="n">
        <v>119</v>
      </c>
      <c r="E12" s="14" t="n">
        <v>50</v>
      </c>
    </row>
    <row r="13" customFormat="false" ht="15" hidden="false" customHeight="false" outlineLevel="0" collapsed="false">
      <c r="A13" s="14" t="n">
        <v>50</v>
      </c>
      <c r="B13" s="14" t="n">
        <v>168</v>
      </c>
      <c r="C13" s="14" t="n">
        <v>144</v>
      </c>
      <c r="E13" s="14" t="n">
        <v>63</v>
      </c>
    </row>
    <row r="14" customFormat="false" ht="15" hidden="false" customHeight="false" outlineLevel="0" collapsed="false">
      <c r="A14" s="14" t="n">
        <v>70</v>
      </c>
      <c r="B14" s="14" t="n">
        <v>213</v>
      </c>
      <c r="C14" s="14" t="n">
        <v>184</v>
      </c>
      <c r="E14" s="14" t="n">
        <v>80</v>
      </c>
    </row>
    <row r="15" customFormat="false" ht="15" hidden="false" customHeight="false" outlineLevel="0" collapsed="false">
      <c r="A15" s="14" t="n">
        <v>95</v>
      </c>
      <c r="B15" s="14" t="n">
        <v>258</v>
      </c>
      <c r="C15" s="14" t="n">
        <v>223</v>
      </c>
      <c r="E15" s="14" t="n">
        <v>100</v>
      </c>
    </row>
    <row r="16" customFormat="false" ht="15" hidden="false" customHeight="false" outlineLevel="0" collapsed="false">
      <c r="A16" s="14" t="n">
        <v>120</v>
      </c>
      <c r="B16" s="14" t="n">
        <v>299</v>
      </c>
      <c r="C16" s="14" t="n">
        <v>259</v>
      </c>
      <c r="E16" s="14" t="n">
        <v>125</v>
      </c>
    </row>
    <row r="17" customFormat="false" ht="15" hidden="false" customHeight="false" outlineLevel="0" collapsed="false">
      <c r="E17" s="14" t="n">
        <v>160</v>
      </c>
    </row>
    <row r="18" customFormat="false" ht="15" hidden="false" customHeight="false" outlineLevel="0" collapsed="false">
      <c r="E18" s="14" t="n">
        <v>200</v>
      </c>
    </row>
    <row r="19" customFormat="false" ht="15" hidden="false" customHeight="false" outlineLevel="0" collapsed="false">
      <c r="E19" s="14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6" min="5" style="0" width="15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1"/>
  </cols>
  <sheetData>
    <row r="1" customFormat="false" ht="17.35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57.75" hidden="false" customHeight="true" outlineLevel="0" collapsed="false">
      <c r="A4" s="7" t="s">
        <v>286</v>
      </c>
      <c r="B4" s="7" t="s">
        <v>287</v>
      </c>
      <c r="C4" s="7" t="s">
        <v>288</v>
      </c>
      <c r="D4" s="7" t="s">
        <v>289</v>
      </c>
      <c r="E4" s="7" t="s">
        <v>290</v>
      </c>
      <c r="F4" s="7" t="s">
        <v>291</v>
      </c>
      <c r="G4" s="7" t="s">
        <v>292</v>
      </c>
      <c r="H4" s="7" t="s">
        <v>293</v>
      </c>
      <c r="I4" s="7" t="s">
        <v>294</v>
      </c>
      <c r="J4" s="7" t="s">
        <v>295</v>
      </c>
      <c r="K4" s="7" t="s">
        <v>296</v>
      </c>
      <c r="L4" s="7" t="s">
        <v>297</v>
      </c>
      <c r="M4" s="7" t="s">
        <v>298</v>
      </c>
      <c r="N4" s="7" t="s">
        <v>299</v>
      </c>
      <c r="O4" s="7" t="s">
        <v>300</v>
      </c>
      <c r="P4" s="7" t="s">
        <v>301</v>
      </c>
      <c r="Q4" s="7" t="s">
        <v>302</v>
      </c>
    </row>
    <row r="5" customFormat="false" ht="15" hidden="false" customHeight="false" outlineLevel="0" collapsed="false">
      <c r="A5" s="11" t="s">
        <v>303</v>
      </c>
      <c r="B5" s="11" t="s">
        <v>304</v>
      </c>
      <c r="C5" s="11" t="s">
        <v>305</v>
      </c>
      <c r="D5" s="21" t="n">
        <f aca="false">PV_Sizing!$B$29</f>
        <v>498</v>
      </c>
      <c r="E5" s="25" t="n">
        <f aca="false">1.25*Inputs!$C$24</f>
        <v>17.5</v>
      </c>
      <c r="F5" s="25" t="n">
        <f aca="false">Inputs!$C$25</f>
        <v>13.26</v>
      </c>
      <c r="G5" s="14" t="n">
        <v>20</v>
      </c>
      <c r="H5" s="27" t="n">
        <v>0.01</v>
      </c>
      <c r="I5" s="21" t="n">
        <f aca="false">INDEX(Ref_Tables!$E$5:$E$19,COUNTIF(Ref_Tables!$E$5:$E$19,"&lt;"&amp;E5)+1)</f>
        <v>20</v>
      </c>
      <c r="J5" s="24" t="n">
        <f aca="false">Inputs!$C$66*Inputs!$C$67</f>
        <v>0.696</v>
      </c>
      <c r="K5" s="11" t="n">
        <f aca="false">INDEX(Ref_Tables!$A$5:$A$16,SUMPRODUCT(--(INDEX(Ref_Tables!$B$5:$C$16,0,IF(C5="3ph",2,1))&lt;I5/J5))+1)</f>
        <v>4</v>
      </c>
      <c r="L5" s="11" t="n">
        <f aca="false">INDEX(Ref_Tables!$A$5:$A$16,COUNTIF(Ref_Tables!$A$5:$A$16,"&lt;"&amp;(IF(C5="3ph",SQRT(3),2)*G5*F5*Inputs!$C$65/(H5*D5)))+1)</f>
        <v>2.5</v>
      </c>
      <c r="M5" s="11" t="n">
        <f aca="false">MAX(K5,L5)</f>
        <v>4</v>
      </c>
      <c r="N5" s="25" t="n">
        <f aca="false">INDEX(Ref_Tables!$B$5:$C$16,MATCH(M5,Ref_Tables!$A$5:$A$16,0),IF(C5="3ph",2,1))*J5</f>
        <v>25.056</v>
      </c>
      <c r="O5" s="28" t="n">
        <f aca="false">IF(C5="3ph",SQRT(3),2)*G5*F5*Inputs!$C$65/(M5*D5)</f>
        <v>0.00599096385542169</v>
      </c>
      <c r="P5" s="23" t="str">
        <f aca="false">IF(AND(E5&lt;=I5,I5&lt;=N5),"PASS","FAIL")</f>
        <v>PASS</v>
      </c>
      <c r="Q5" s="23" t="str">
        <f aca="false">IF(O5&lt;=H5,"PASS","FAIL")</f>
        <v>PASS</v>
      </c>
    </row>
    <row r="6" customFormat="false" ht="15" hidden="false" customHeight="false" outlineLevel="0" collapsed="false">
      <c r="A6" s="11" t="s">
        <v>306</v>
      </c>
      <c r="B6" s="11" t="s">
        <v>307</v>
      </c>
      <c r="C6" s="11" t="s">
        <v>305</v>
      </c>
      <c r="D6" s="21" t="n">
        <f aca="false">PV_Sizing!$B$29</f>
        <v>498</v>
      </c>
      <c r="E6" s="25" t="n">
        <f aca="false">1.25*Inputs!$C$24*PV_Sizing!$B$14</f>
        <v>35</v>
      </c>
      <c r="F6" s="25" t="n">
        <f aca="false">Inputs!$C$25*PV_Sizing!$B$14</f>
        <v>26.52</v>
      </c>
      <c r="G6" s="14" t="n">
        <v>15</v>
      </c>
      <c r="H6" s="27" t="n">
        <v>0.01</v>
      </c>
      <c r="I6" s="21" t="n">
        <f aca="false">INDEX(Ref_Tables!$E$5:$E$19,COUNTIF(Ref_Tables!$E$5:$E$19,"&lt;"&amp;E6)+1)</f>
        <v>40</v>
      </c>
      <c r="J6" s="24" t="n">
        <f aca="false">Inputs!$C$66*Inputs!$C$67</f>
        <v>0.696</v>
      </c>
      <c r="K6" s="11" t="n">
        <f aca="false">INDEX(Ref_Tables!$A$5:$A$16,SUMPRODUCT(--(INDEX(Ref_Tables!$B$5:$C$16,0,IF(C6="3ph",2,1))&lt;I6/J6))+1)</f>
        <v>10</v>
      </c>
      <c r="L6" s="11" t="n">
        <f aca="false">INDEX(Ref_Tables!$A$5:$A$16,COUNTIF(Ref_Tables!$A$5:$A$16,"&lt;"&amp;(IF(C6="3ph",SQRT(3),2)*G6*F6*Inputs!$C$65/(H6*D6)))+1)</f>
        <v>4</v>
      </c>
      <c r="M6" s="11" t="n">
        <f aca="false">MAX(K6,L6)</f>
        <v>10</v>
      </c>
      <c r="N6" s="25" t="n">
        <f aca="false">INDEX(Ref_Tables!$B$5:$C$16,MATCH(M6,Ref_Tables!$A$5:$A$16,0),IF(C6="3ph",2,1))*J6</f>
        <v>43.848</v>
      </c>
      <c r="O6" s="28" t="n">
        <f aca="false">IF(C6="3ph",SQRT(3),2)*G6*F6*Inputs!$C$65/(M6*D6)</f>
        <v>0.00359457831325301</v>
      </c>
      <c r="P6" s="23" t="str">
        <f aca="false">IF(AND(E6&lt;=I6,I6&lt;=N6),"PASS","FAIL")</f>
        <v>PASS</v>
      </c>
      <c r="Q6" s="23" t="str">
        <f aca="false">IF(O6&lt;=H6,"PASS","FAIL")</f>
        <v>PASS</v>
      </c>
    </row>
    <row r="7" customFormat="false" ht="15" hidden="false" customHeight="false" outlineLevel="0" collapsed="false">
      <c r="A7" s="11" t="s">
        <v>308</v>
      </c>
      <c r="B7" s="11" t="s">
        <v>309</v>
      </c>
      <c r="C7" s="11" t="s">
        <v>310</v>
      </c>
      <c r="D7" s="21" t="n">
        <f aca="false">Inputs!$C$6</f>
        <v>400</v>
      </c>
      <c r="E7" s="25" t="n">
        <f aca="false">PV_Sizing!$B$40</f>
        <v>17.3205080756888</v>
      </c>
      <c r="F7" s="25" t="n">
        <f aca="false">PV_Sizing!$B$40</f>
        <v>17.3205080756888</v>
      </c>
      <c r="G7" s="14" t="n">
        <v>10</v>
      </c>
      <c r="H7" s="27" t="n">
        <v>0.01</v>
      </c>
      <c r="I7" s="21" t="n">
        <f aca="false">INDEX(Ref_Tables!$E$5:$E$19,COUNTIF(Ref_Tables!$E$5:$E$19,"&lt;"&amp;E7)+1)</f>
        <v>20</v>
      </c>
      <c r="J7" s="24" t="n">
        <f aca="false">Inputs!$C$66*Inputs!$C$67</f>
        <v>0.696</v>
      </c>
      <c r="K7" s="11" t="n">
        <f aca="false">INDEX(Ref_Tables!$A$5:$A$16,SUMPRODUCT(--(INDEX(Ref_Tables!$B$5:$C$16,0,IF(C7="3ph",2,1))&lt;I7/J7))+1)</f>
        <v>4</v>
      </c>
      <c r="L7" s="11" t="n">
        <f aca="false">INDEX(Ref_Tables!$A$5:$A$16,COUNTIF(Ref_Tables!$A$5:$A$16,"&lt;"&amp;(IF(C7="3ph",SQRT(3),2)*G7*F7*Inputs!$C$65/(H7*D7)))+1)</f>
        <v>2.5</v>
      </c>
      <c r="M7" s="11" t="n">
        <f aca="false">MAX(K7,L7)</f>
        <v>4</v>
      </c>
      <c r="N7" s="25" t="n">
        <f aca="false">INDEX(Ref_Tables!$B$5:$C$16,MATCH(M7,Ref_Tables!$A$5:$A$16,0),IF(C7="3ph",2,1))*J7</f>
        <v>22.272</v>
      </c>
      <c r="O7" s="28" t="n">
        <f aca="false">IF(C7="3ph",SQRT(3),2)*G7*F7*Inputs!$C$65/(M7*D7)</f>
        <v>0.00421875</v>
      </c>
      <c r="P7" s="23" t="str">
        <f aca="false">IF(AND(E7&lt;=I7,I7&lt;=N7),"PASS","FAIL")</f>
        <v>PASS</v>
      </c>
      <c r="Q7" s="23" t="str">
        <f aca="false">IF(O7&lt;=H7,"PASS","FAIL")</f>
        <v>PASS</v>
      </c>
    </row>
    <row r="8" customFormat="false" ht="15" hidden="false" customHeight="false" outlineLevel="0" collapsed="false">
      <c r="A8" s="11" t="s">
        <v>311</v>
      </c>
      <c r="B8" s="11" t="s">
        <v>312</v>
      </c>
      <c r="C8" s="11" t="s">
        <v>310</v>
      </c>
      <c r="D8" s="21" t="n">
        <f aca="false">Inputs!$C$6</f>
        <v>400</v>
      </c>
      <c r="E8" s="25" t="n">
        <f aca="false">BESS_Sizing!$B$21</f>
        <v>14.4337567297406</v>
      </c>
      <c r="F8" s="25" t="n">
        <f aca="false">BESS_Sizing!$B$21</f>
        <v>14.4337567297406</v>
      </c>
      <c r="G8" s="14" t="n">
        <v>15</v>
      </c>
      <c r="H8" s="27" t="n">
        <v>0.015</v>
      </c>
      <c r="I8" s="21" t="n">
        <f aca="false">INDEX(Ref_Tables!$E$5:$E$19,COUNTIF(Ref_Tables!$E$5:$E$19,"&lt;"&amp;E8)+1)</f>
        <v>16</v>
      </c>
      <c r="J8" s="24" t="n">
        <f aca="false">Inputs!$C$66*Inputs!$C$67</f>
        <v>0.696</v>
      </c>
      <c r="K8" s="11" t="n">
        <f aca="false">INDEX(Ref_Tables!$A$5:$A$16,SUMPRODUCT(--(INDEX(Ref_Tables!$B$5:$C$16,0,IF(C8="3ph",2,1))&lt;I8/J8))+1)</f>
        <v>2.5</v>
      </c>
      <c r="L8" s="11" t="n">
        <f aca="false">INDEX(Ref_Tables!$A$5:$A$16,COUNTIF(Ref_Tables!$A$5:$A$16,"&lt;"&amp;(IF(C8="3ph",SQRT(3),2)*G8*F8*Inputs!$C$65/(H8*D8)))+1)</f>
        <v>1.5</v>
      </c>
      <c r="M8" s="11" t="n">
        <f aca="false">MAX(K8,L8)</f>
        <v>2.5</v>
      </c>
      <c r="N8" s="25" t="n">
        <f aca="false">INDEX(Ref_Tables!$B$5:$C$16,MATCH(M8,Ref_Tables!$A$5:$A$16,0),IF(C8="3ph",2,1))*J8</f>
        <v>16.704</v>
      </c>
      <c r="O8" s="28" t="n">
        <f aca="false">IF(C8="3ph",SQRT(3),2)*G8*F8*Inputs!$C$65/(M8*D8)</f>
        <v>0.0084375</v>
      </c>
      <c r="P8" s="23" t="str">
        <f aca="false">IF(AND(E8&lt;=I8,I8&lt;=N8),"PASS","FAIL")</f>
        <v>PASS</v>
      </c>
      <c r="Q8" s="23" t="str">
        <f aca="false">IF(O8&lt;=H8,"PASS","FAIL")</f>
        <v>PASS</v>
      </c>
    </row>
    <row r="9" customFormat="false" ht="15" hidden="false" customHeight="false" outlineLevel="0" collapsed="false">
      <c r="A9" s="11" t="s">
        <v>313</v>
      </c>
      <c r="B9" s="11" t="s">
        <v>314</v>
      </c>
      <c r="C9" s="11" t="s">
        <v>315</v>
      </c>
      <c r="D9" s="21" t="n">
        <f aca="false">Inputs!$C$7</f>
        <v>230</v>
      </c>
      <c r="E9" s="25" t="n">
        <f aca="false">Inputs!$C$9</f>
        <v>32</v>
      </c>
      <c r="F9" s="25" t="n">
        <f aca="false">Inputs!$C$9</f>
        <v>32</v>
      </c>
      <c r="G9" s="14" t="n">
        <v>30</v>
      </c>
      <c r="H9" s="27" t="n">
        <v>0.03</v>
      </c>
      <c r="I9" s="21" t="n">
        <f aca="false">INDEX(Ref_Tables!$E$5:$E$19,COUNTIF(Ref_Tables!$E$5:$E$19,"&lt;"&amp;E9)+1)</f>
        <v>32</v>
      </c>
      <c r="J9" s="24" t="n">
        <f aca="false">Inputs!$C$66*Inputs!$C$67</f>
        <v>0.696</v>
      </c>
      <c r="K9" s="11" t="n">
        <f aca="false">INDEX(Ref_Tables!$A$5:$A$16,SUMPRODUCT(--(INDEX(Ref_Tables!$B$5:$C$16,0,IF(C9="3ph",2,1))&lt;I9/J9))+1)</f>
        <v>6</v>
      </c>
      <c r="L9" s="11" t="n">
        <f aca="false">INDEX(Ref_Tables!$A$5:$A$16,COUNTIF(Ref_Tables!$A$5:$A$16,"&lt;"&amp;(IF(C9="3ph",SQRT(3),2)*G9*F9*Inputs!$C$65/(H9*D9)))+1)</f>
        <v>10</v>
      </c>
      <c r="M9" s="11" t="n">
        <f aca="false">MAX(K9,L9)</f>
        <v>10</v>
      </c>
      <c r="N9" s="25" t="n">
        <f aca="false">INDEX(Ref_Tables!$B$5:$C$16,MATCH(M9,Ref_Tables!$A$5:$A$16,0),IF(C9="3ph",2,1))*J9</f>
        <v>43.848</v>
      </c>
      <c r="O9" s="28" t="n">
        <f aca="false">IF(C9="3ph",SQRT(3),2)*G9*F9*Inputs!$C$65/(M9*D9)</f>
        <v>0.0187826086956522</v>
      </c>
      <c r="P9" s="23" t="str">
        <f aca="false">IF(AND(E9&lt;=I9,I9&lt;=N9),"PASS","FAIL")</f>
        <v>PASS</v>
      </c>
      <c r="Q9" s="23" t="str">
        <f aca="false">IF(O9&lt;=H9,"PASS","FAIL")</f>
        <v>PASS</v>
      </c>
    </row>
    <row r="10" customFormat="false" ht="15" hidden="false" customHeight="false" outlineLevel="0" collapsed="false">
      <c r="A10" s="11" t="s">
        <v>316</v>
      </c>
      <c r="B10" s="11" t="s">
        <v>317</v>
      </c>
      <c r="C10" s="11" t="s">
        <v>315</v>
      </c>
      <c r="D10" s="21" t="n">
        <f aca="false">Inputs!$C$7</f>
        <v>230</v>
      </c>
      <c r="E10" s="25" t="n">
        <f aca="false">Inputs!$C$9</f>
        <v>32</v>
      </c>
      <c r="F10" s="25" t="n">
        <f aca="false">Inputs!$C$9</f>
        <v>32</v>
      </c>
      <c r="G10" s="14" t="n">
        <v>5</v>
      </c>
      <c r="H10" s="27" t="n">
        <v>0.01</v>
      </c>
      <c r="I10" s="21" t="n">
        <f aca="false">INDEX(Ref_Tables!$E$5:$E$19,COUNTIF(Ref_Tables!$E$5:$E$19,"&lt;"&amp;E10)+1)</f>
        <v>32</v>
      </c>
      <c r="J10" s="24" t="n">
        <f aca="false">Inputs!$C$66*Inputs!$C$67</f>
        <v>0.696</v>
      </c>
      <c r="K10" s="11" t="n">
        <f aca="false">INDEX(Ref_Tables!$A$5:$A$16,SUMPRODUCT(--(INDEX(Ref_Tables!$B$5:$C$16,0,IF(C10="3ph",2,1))&lt;I10/J10))+1)</f>
        <v>6</v>
      </c>
      <c r="L10" s="11" t="n">
        <f aca="false">INDEX(Ref_Tables!$A$5:$A$16,COUNTIF(Ref_Tables!$A$5:$A$16,"&lt;"&amp;(IF(C10="3ph",SQRT(3),2)*G10*F10*Inputs!$C$65/(H10*D10)))+1)</f>
        <v>4</v>
      </c>
      <c r="M10" s="11" t="n">
        <f aca="false">MAX(K10,L10)</f>
        <v>6</v>
      </c>
      <c r="N10" s="25" t="n">
        <f aca="false">INDEX(Ref_Tables!$B$5:$C$16,MATCH(M10,Ref_Tables!$A$5:$A$16,0),IF(C10="3ph",2,1))*J10</f>
        <v>32.016</v>
      </c>
      <c r="O10" s="28" t="n">
        <f aca="false">IF(C10="3ph",SQRT(3),2)*G10*F10*Inputs!$C$65/(M10*D10)</f>
        <v>0.00521739130434783</v>
      </c>
      <c r="P10" s="23" t="str">
        <f aca="false">IF(AND(E10&lt;=I10,I10&lt;=N10),"PASS","FAIL")</f>
        <v>PASS</v>
      </c>
      <c r="Q10" s="23" t="str">
        <f aca="false">IF(O10&lt;=H10,"PASS","FAIL")</f>
        <v>PASS</v>
      </c>
    </row>
    <row r="12" customFormat="false" ht="15" hidden="false" customHeight="false" outlineLevel="0" collapsed="false">
      <c r="A12" s="5" t="s">
        <v>318</v>
      </c>
    </row>
    <row r="13" customFormat="false" ht="15" hidden="false" customHeight="false" outlineLevel="0" collapsed="false">
      <c r="A13" s="29" t="s">
        <v>319</v>
      </c>
      <c r="I13" s="5" t="str">
        <f aca="false">IF(I5&lt;=Inputs!$C$28,"PASS","FAIL")</f>
        <v>PASS</v>
      </c>
    </row>
    <row r="15" customFormat="false" ht="15" hidden="false" customHeight="false" outlineLevel="0" collapsed="false">
      <c r="A15" s="5" t="s">
        <v>320</v>
      </c>
    </row>
    <row r="16" customFormat="false" ht="15" hidden="false" customHeight="false" outlineLevel="0" collapsed="false">
      <c r="A16" s="29" t="s">
        <v>321</v>
      </c>
    </row>
    <row r="17" customFormat="false" ht="15" hidden="false" customHeight="false" outlineLevel="0" collapsed="false">
      <c r="A17" s="29" t="s">
        <v>322</v>
      </c>
    </row>
    <row r="18" customFormat="false" ht="15" hidden="false" customHeight="false" outlineLevel="0" collapsed="false">
      <c r="A18" s="29" t="s">
        <v>323</v>
      </c>
    </row>
    <row r="19" customFormat="false" ht="15" hidden="false" customHeight="false" outlineLevel="0" collapsed="false">
      <c r="A19" s="29" t="s">
        <v>324</v>
      </c>
    </row>
  </sheetData>
  <conditionalFormatting sqref="P5:Q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I13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2026-10-04T03:12:28Z</dcterms:created>
  <dc:creator>openpyxl</dc:creator>
  <dc:description/>
  <dc:language>en-US</dc:language>
  <cp:lastModifiedBy/>
  <dcterms:modified xsi:type="dcterms:W3CDTF">2026-10-04T03:12:28Z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